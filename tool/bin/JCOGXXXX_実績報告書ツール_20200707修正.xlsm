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uinoue\Desktop\tool\bin\"/>
    </mc:Choice>
  </mc:AlternateContent>
  <bookViews>
    <workbookView xWindow="0" yWindow="0" windowWidth="2160" windowHeight="0" activeTab="1"/>
  </bookViews>
  <sheets>
    <sheet name="共通項目更新シート" sheetId="15" r:id="rId1"/>
    <sheet name="業務フォルダー作成" sheetId="8" r:id="rId2"/>
    <sheet name="患者登録状況一覧作成" sheetId="6" r:id="rId3"/>
    <sheet name="実績報告書作成" sheetId="1" r:id="rId4"/>
    <sheet name="総括報告書作成" sheetId="5" r:id="rId5"/>
    <sheet name="実績0件" sheetId="13" r:id="rId6"/>
    <sheet name="コピー（手引き）" sheetId="14" r:id="rId7"/>
    <sheet name="実績報告書確認" sheetId="3" r:id="rId8"/>
    <sheet name="実績報告書更新" sheetId="2" r:id="rId9"/>
    <sheet name="メール送信" sheetId="12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0" i="3" l="1"/>
  <c r="D19" i="3"/>
  <c r="D18" i="3"/>
  <c r="D17" i="3"/>
  <c r="D16" i="3"/>
  <c r="C9" i="2" l="1"/>
  <c r="C9" i="13" l="1"/>
  <c r="C2" i="13"/>
  <c r="C9" i="5"/>
  <c r="C9" i="1"/>
  <c r="C7" i="12"/>
  <c r="C7" i="13"/>
  <c r="C7" i="1"/>
  <c r="C2" i="1"/>
  <c r="C9" i="6"/>
  <c r="B6" i="15"/>
  <c r="C14" i="6" l="1"/>
  <c r="C7" i="6"/>
  <c r="C2" i="6"/>
  <c r="I23" i="6"/>
  <c r="I8" i="6"/>
  <c r="C15" i="6"/>
  <c r="D20" i="6" s="1"/>
  <c r="D19" i="13"/>
  <c r="D19" i="5"/>
  <c r="C15" i="5"/>
  <c r="C7" i="5"/>
  <c r="C7" i="2"/>
  <c r="C7" i="3"/>
  <c r="C9" i="3"/>
  <c r="C7" i="14"/>
  <c r="C9" i="8"/>
  <c r="C7" i="8"/>
  <c r="C15" i="13"/>
  <c r="C15" i="1"/>
  <c r="C15" i="8"/>
  <c r="C13" i="6"/>
  <c r="C13" i="5"/>
  <c r="C13" i="13"/>
  <c r="C13" i="1"/>
  <c r="C13" i="8"/>
  <c r="C5" i="12"/>
  <c r="C5" i="6"/>
  <c r="C5" i="5"/>
  <c r="C5" i="2"/>
  <c r="C5" i="3"/>
  <c r="C5" i="14"/>
  <c r="C5" i="13"/>
  <c r="C5" i="1"/>
  <c r="C5" i="8"/>
  <c r="C14" i="1" l="1"/>
  <c r="C14" i="5"/>
  <c r="C14" i="8"/>
  <c r="C14" i="13"/>
  <c r="V19" i="6"/>
  <c r="V19" i="5"/>
  <c r="V19" i="2"/>
  <c r="V19" i="14"/>
  <c r="V19" i="13"/>
  <c r="V19" i="1"/>
  <c r="J10" i="6" l="1"/>
  <c r="J9" i="6"/>
  <c r="Q19" i="6" l="1"/>
  <c r="Q19" i="5"/>
  <c r="Q19" i="2"/>
  <c r="F11" i="12" l="1"/>
  <c r="I22" i="6"/>
  <c r="I21" i="6"/>
  <c r="I20" i="6"/>
  <c r="I19" i="6"/>
  <c r="J11" i="6"/>
  <c r="J8" i="6"/>
  <c r="C10" i="3"/>
  <c r="C10" i="6" s="1"/>
  <c r="Q19" i="14"/>
  <c r="Q19" i="13"/>
  <c r="Q19" i="1"/>
</calcChain>
</file>

<file path=xl/sharedStrings.xml><?xml version="1.0" encoding="utf-8"?>
<sst xmlns="http://schemas.openxmlformats.org/spreadsheetml/2006/main" count="512" uniqueCount="258">
  <si>
    <t>進捗リスト</t>
    <rPh sb="0" eb="2">
      <t>シンチョク</t>
    </rPh>
    <phoneticPr fontId="1"/>
  </si>
  <si>
    <t>ONAME</t>
    <phoneticPr fontId="1"/>
  </si>
  <si>
    <t>列</t>
    <rPh sb="0" eb="1">
      <t>レツ</t>
    </rPh>
    <phoneticPr fontId="1"/>
  </si>
  <si>
    <t>先進医療の費用（届出時）</t>
    <rPh sb="0" eb="2">
      <t>センシン</t>
    </rPh>
    <rPh sb="2" eb="4">
      <t>イリョウ</t>
    </rPh>
    <rPh sb="5" eb="7">
      <t>ヒヨウ</t>
    </rPh>
    <rPh sb="8" eb="10">
      <t>トドケデ</t>
    </rPh>
    <rPh sb="10" eb="11">
      <t>ジ</t>
    </rPh>
    <phoneticPr fontId="1"/>
  </si>
  <si>
    <t>人件費</t>
    <rPh sb="0" eb="3">
      <t>ジンケンヒ</t>
    </rPh>
    <phoneticPr fontId="1"/>
  </si>
  <si>
    <t>実績報告書</t>
    <rPh sb="0" eb="2">
      <t>ジッセキ</t>
    </rPh>
    <rPh sb="2" eb="5">
      <t>ホウコクショ</t>
    </rPh>
    <phoneticPr fontId="1"/>
  </si>
  <si>
    <t>番地</t>
    <rPh sb="0" eb="2">
      <t>バンチ</t>
    </rPh>
    <phoneticPr fontId="1"/>
  </si>
  <si>
    <t>保険医療機関名</t>
    <rPh sb="0" eb="2">
      <t>ホケン</t>
    </rPh>
    <rPh sb="2" eb="4">
      <t>イリョウ</t>
    </rPh>
    <rPh sb="4" eb="6">
      <t>キカン</t>
    </rPh>
    <rPh sb="6" eb="7">
      <t>メイ</t>
    </rPh>
    <phoneticPr fontId="1"/>
  </si>
  <si>
    <t>C3</t>
    <phoneticPr fontId="1"/>
  </si>
  <si>
    <t>届出受理年月日</t>
    <rPh sb="0" eb="2">
      <t>トドケデ</t>
    </rPh>
    <rPh sb="2" eb="4">
      <t>ジュリ</t>
    </rPh>
    <rPh sb="4" eb="7">
      <t>ネンガッピ</t>
    </rPh>
    <phoneticPr fontId="1"/>
  </si>
  <si>
    <t>M6</t>
    <phoneticPr fontId="1"/>
  </si>
  <si>
    <t>M4</t>
    <phoneticPr fontId="1"/>
  </si>
  <si>
    <t>（うち人件費）</t>
    <rPh sb="3" eb="6">
      <t>ジンケンヒ</t>
    </rPh>
    <phoneticPr fontId="1"/>
  </si>
  <si>
    <t>N7</t>
    <phoneticPr fontId="1"/>
  </si>
  <si>
    <t>実績報告書出力先フォルダー名</t>
    <rPh sb="0" eb="2">
      <t>ジッセキ</t>
    </rPh>
    <rPh sb="2" eb="5">
      <t>ホウコクショ</t>
    </rPh>
    <rPh sb="5" eb="7">
      <t>シュツリョク</t>
    </rPh>
    <rPh sb="7" eb="8">
      <t>サキ</t>
    </rPh>
    <rPh sb="13" eb="14">
      <t>メイ</t>
    </rPh>
    <phoneticPr fontId="1"/>
  </si>
  <si>
    <t>→</t>
    <phoneticPr fontId="1"/>
  </si>
  <si>
    <t>実績報告書template</t>
    <rPh sb="0" eb="2">
      <t>ジッセキ</t>
    </rPh>
    <rPh sb="2" eb="5">
      <t>ホウコクショ</t>
    </rPh>
    <phoneticPr fontId="1"/>
  </si>
  <si>
    <t>読み込む進捗リストファイル名</t>
    <rPh sb="0" eb="1">
      <t>ヨ</t>
    </rPh>
    <rPh sb="2" eb="3">
      <t>コ</t>
    </rPh>
    <rPh sb="4" eb="6">
      <t>シンチョク</t>
    </rPh>
    <rPh sb="13" eb="14">
      <t>メイ</t>
    </rPh>
    <phoneticPr fontId="1"/>
  </si>
  <si>
    <t>マッピング（進捗リスト/実績報告書）</t>
    <rPh sb="6" eb="8">
      <t>シンチョク</t>
    </rPh>
    <rPh sb="12" eb="14">
      <t>ジッセキ</t>
    </rPh>
    <rPh sb="14" eb="16">
      <t>ホウコク</t>
    </rPh>
    <rPh sb="16" eb="17">
      <t>ショ</t>
    </rPh>
    <phoneticPr fontId="1"/>
  </si>
  <si>
    <t>※本ツールと同じフォルダーに進捗リストを保存すること</t>
    <rPh sb="1" eb="2">
      <t>ホン</t>
    </rPh>
    <rPh sb="6" eb="7">
      <t>オナ</t>
    </rPh>
    <rPh sb="14" eb="16">
      <t>シンチョク</t>
    </rPh>
    <rPh sb="20" eb="22">
      <t>ホゾン</t>
    </rPh>
    <phoneticPr fontId="1"/>
  </si>
  <si>
    <t>進捗リストシート名</t>
    <rPh sb="0" eb="2">
      <t>シンチョク</t>
    </rPh>
    <rPh sb="8" eb="9">
      <t>メイ</t>
    </rPh>
    <phoneticPr fontId="1"/>
  </si>
  <si>
    <t>b7-1-1.xls</t>
    <phoneticPr fontId="1"/>
  </si>
  <si>
    <t>進捗リストLOT番号追記列</t>
    <rPh sb="0" eb="2">
      <t>シンチョク</t>
    </rPh>
    <rPh sb="8" eb="10">
      <t>バンゴウ</t>
    </rPh>
    <rPh sb="10" eb="12">
      <t>ツイキ</t>
    </rPh>
    <rPh sb="12" eb="13">
      <t>レツ</t>
    </rPh>
    <phoneticPr fontId="1"/>
  </si>
  <si>
    <t>技術名</t>
    <rPh sb="0" eb="2">
      <t>ギジュツ</t>
    </rPh>
    <rPh sb="2" eb="3">
      <t>メイ</t>
    </rPh>
    <phoneticPr fontId="1"/>
  </si>
  <si>
    <t>C5</t>
    <phoneticPr fontId="1"/>
  </si>
  <si>
    <t>LOT番号書式接頭字</t>
    <rPh sb="3" eb="5">
      <t>バンゴウ</t>
    </rPh>
    <rPh sb="5" eb="7">
      <t>ショシキ</t>
    </rPh>
    <rPh sb="7" eb="9">
      <t>セットウ</t>
    </rPh>
    <rPh sb="9" eb="10">
      <t>ジ</t>
    </rPh>
    <phoneticPr fontId="1"/>
  </si>
  <si>
    <t>※本ツールと同じフォルダーに「実績報告書」出力先フォルダーが作成され、「実績報告書」保存されます。</t>
    <rPh sb="1" eb="2">
      <t>ホン</t>
    </rPh>
    <rPh sb="6" eb="7">
      <t>オナ</t>
    </rPh>
    <rPh sb="15" eb="17">
      <t>ジッセキ</t>
    </rPh>
    <rPh sb="17" eb="20">
      <t>ホウコクショ</t>
    </rPh>
    <rPh sb="21" eb="23">
      <t>シュツリョク</t>
    </rPh>
    <rPh sb="23" eb="24">
      <t>サキ</t>
    </rPh>
    <rPh sb="30" eb="32">
      <t>サクセイ</t>
    </rPh>
    <rPh sb="36" eb="38">
      <t>ジッセキ</t>
    </rPh>
    <rPh sb="38" eb="41">
      <t>ホウコクショ</t>
    </rPh>
    <rPh sb="42" eb="44">
      <t>ホゾン</t>
    </rPh>
    <phoneticPr fontId="1"/>
  </si>
  <si>
    <t>※本ツールと同じフォルダーに受領した「実績報告書」の保存先ホルダーを置いて下さい</t>
    <rPh sb="1" eb="2">
      <t>ホン</t>
    </rPh>
    <rPh sb="6" eb="7">
      <t>オナ</t>
    </rPh>
    <rPh sb="14" eb="16">
      <t>ジュリョウ</t>
    </rPh>
    <rPh sb="19" eb="21">
      <t>ジッセキ</t>
    </rPh>
    <rPh sb="21" eb="24">
      <t>ホウコクショ</t>
    </rPh>
    <rPh sb="26" eb="28">
      <t>ホゾン</t>
    </rPh>
    <rPh sb="28" eb="29">
      <t>サキ</t>
    </rPh>
    <rPh sb="34" eb="35">
      <t>オ</t>
    </rPh>
    <rPh sb="37" eb="38">
      <t>クダ</t>
    </rPh>
    <phoneticPr fontId="1"/>
  </si>
  <si>
    <t>コード番号</t>
    <rPh sb="3" eb="5">
      <t>バンゴウ</t>
    </rPh>
    <phoneticPr fontId="1"/>
  </si>
  <si>
    <t>別添1：コード番号</t>
    <rPh sb="0" eb="2">
      <t>ベッテン</t>
    </rPh>
    <rPh sb="7" eb="9">
      <t>バンゴウ</t>
    </rPh>
    <phoneticPr fontId="2"/>
  </si>
  <si>
    <t>一番最後尾は、必ずLOT番号の列を入力する</t>
    <rPh sb="0" eb="2">
      <t>イチバン</t>
    </rPh>
    <rPh sb="2" eb="4">
      <t>サイゴ</t>
    </rPh>
    <rPh sb="4" eb="5">
      <t>オ</t>
    </rPh>
    <rPh sb="7" eb="8">
      <t>カナラ</t>
    </rPh>
    <rPh sb="12" eb="14">
      <t>バンゴウ</t>
    </rPh>
    <rPh sb="15" eb="16">
      <t>レツ</t>
    </rPh>
    <rPh sb="17" eb="19">
      <t>ニュウリョク</t>
    </rPh>
    <phoneticPr fontId="1"/>
  </si>
  <si>
    <t>O2</t>
    <phoneticPr fontId="1"/>
  </si>
  <si>
    <t>ファイル名</t>
    <rPh sb="4" eb="5">
      <t>メイ</t>
    </rPh>
    <phoneticPr fontId="1"/>
  </si>
  <si>
    <t>最後から2番名は、ファイル名の列を入力</t>
    <rPh sb="0" eb="2">
      <t>サイゴ</t>
    </rPh>
    <rPh sb="5" eb="6">
      <t>バン</t>
    </rPh>
    <rPh sb="6" eb="7">
      <t>メイ</t>
    </rPh>
    <rPh sb="13" eb="14">
      <t>メイ</t>
    </rPh>
    <rPh sb="15" eb="16">
      <t>レツ</t>
    </rPh>
    <rPh sb="17" eb="19">
      <t>ニュウリョク</t>
    </rPh>
    <phoneticPr fontId="1"/>
  </si>
  <si>
    <t>一番最後尾は、必ずファイル名の列を入力する</t>
    <rPh sb="0" eb="2">
      <t>イチバン</t>
    </rPh>
    <rPh sb="2" eb="4">
      <t>サイゴ</t>
    </rPh>
    <rPh sb="4" eb="5">
      <t>オ</t>
    </rPh>
    <rPh sb="7" eb="8">
      <t>カナラ</t>
    </rPh>
    <rPh sb="13" eb="14">
      <t>メイ</t>
    </rPh>
    <rPh sb="15" eb="16">
      <t>レツ</t>
    </rPh>
    <rPh sb="17" eb="19">
      <t>ニュウリョク</t>
    </rPh>
    <phoneticPr fontId="1"/>
  </si>
  <si>
    <t>先進医療名</t>
    <rPh sb="0" eb="2">
      <t>センシン</t>
    </rPh>
    <rPh sb="2" eb="4">
      <t>イリョウ</t>
    </rPh>
    <rPh sb="4" eb="5">
      <t>メイ</t>
    </rPh>
    <phoneticPr fontId="1"/>
  </si>
  <si>
    <t>実績報告書(更新)出力先フォルダー名</t>
    <rPh sb="0" eb="2">
      <t>ジッセキ</t>
    </rPh>
    <rPh sb="2" eb="5">
      <t>ホウコクショ</t>
    </rPh>
    <rPh sb="6" eb="8">
      <t>コウシン</t>
    </rPh>
    <rPh sb="9" eb="11">
      <t>シュツリョク</t>
    </rPh>
    <rPh sb="11" eb="12">
      <t>サキ</t>
    </rPh>
    <rPh sb="17" eb="18">
      <t>メイ</t>
    </rPh>
    <phoneticPr fontId="1"/>
  </si>
  <si>
    <t>BL</t>
    <phoneticPr fontId="1"/>
  </si>
  <si>
    <t>JCOG1502C</t>
    <phoneticPr fontId="1"/>
  </si>
  <si>
    <t>BS</t>
    <phoneticPr fontId="1"/>
  </si>
  <si>
    <t>F</t>
    <phoneticPr fontId="1"/>
  </si>
  <si>
    <t>X</t>
    <phoneticPr fontId="1"/>
  </si>
  <si>
    <t>AA</t>
    <phoneticPr fontId="1"/>
  </si>
  <si>
    <t>AB</t>
    <phoneticPr fontId="1"/>
  </si>
  <si>
    <t>読み込みフラグ列</t>
    <rPh sb="0" eb="1">
      <t>ヨ</t>
    </rPh>
    <rPh sb="2" eb="3">
      <t>コ</t>
    </rPh>
    <rPh sb="7" eb="8">
      <t>レツ</t>
    </rPh>
    <phoneticPr fontId="1"/>
  </si>
  <si>
    <t>AC</t>
    <phoneticPr fontId="1"/>
  </si>
  <si>
    <t>JCOG1502CUP</t>
    <phoneticPr fontId="1"/>
  </si>
  <si>
    <t>BJ</t>
    <phoneticPr fontId="1"/>
  </si>
  <si>
    <t>実績報告書(確認)出力先フォルダー名</t>
    <rPh sb="0" eb="2">
      <t>ジッセキ</t>
    </rPh>
    <rPh sb="2" eb="5">
      <t>ホウコクショ</t>
    </rPh>
    <rPh sb="6" eb="8">
      <t>カクニン</t>
    </rPh>
    <rPh sb="9" eb="11">
      <t>シュツリョク</t>
    </rPh>
    <rPh sb="11" eb="12">
      <t>サキ</t>
    </rPh>
    <rPh sb="17" eb="18">
      <t>メイ</t>
    </rPh>
    <phoneticPr fontId="1"/>
  </si>
  <si>
    <t>JCOG1502CHECK</t>
    <phoneticPr fontId="1"/>
  </si>
  <si>
    <t>版：draft1.3　作成日：2020/05/12</t>
    <rPh sb="0" eb="1">
      <t>ハン</t>
    </rPh>
    <rPh sb="11" eb="12">
      <t>サク</t>
    </rPh>
    <phoneticPr fontId="1"/>
  </si>
  <si>
    <t>JCOG1502CW</t>
    <phoneticPr fontId="1"/>
  </si>
  <si>
    <t>b7-1.doc</t>
    <phoneticPr fontId="1"/>
  </si>
  <si>
    <t>D</t>
    <phoneticPr fontId="1"/>
  </si>
  <si>
    <t>LOT番号書式接尾字（OCODE）</t>
    <rPh sb="3" eb="5">
      <t>バンゴウ</t>
    </rPh>
    <rPh sb="5" eb="7">
      <t>ショシキ</t>
    </rPh>
    <rPh sb="7" eb="9">
      <t>セツビ</t>
    </rPh>
    <rPh sb="9" eb="10">
      <t>ジ</t>
    </rPh>
    <phoneticPr fontId="1"/>
  </si>
  <si>
    <t>版：draft1.4　作成日：2020/05/18</t>
    <rPh sb="0" eb="1">
      <t>ハン</t>
    </rPh>
    <rPh sb="11" eb="12">
      <t>サク</t>
    </rPh>
    <phoneticPr fontId="1"/>
  </si>
  <si>
    <t>患者登録状況一覧出力先</t>
    <rPh sb="0" eb="2">
      <t>カンジャ</t>
    </rPh>
    <rPh sb="2" eb="4">
      <t>トウロク</t>
    </rPh>
    <rPh sb="4" eb="6">
      <t>ジョウキョウ</t>
    </rPh>
    <rPh sb="6" eb="8">
      <t>イチラン</t>
    </rPh>
    <rPh sb="8" eb="10">
      <t>シュツリョク</t>
    </rPh>
    <rPh sb="10" eb="11">
      <t>サキ</t>
    </rPh>
    <phoneticPr fontId="1"/>
  </si>
  <si>
    <r>
      <t>LOT番号書式　接頭字</t>
    </r>
    <r>
      <rPr>
        <sz val="14"/>
        <color theme="1"/>
        <rFont val="Tahoma"/>
        <family val="2"/>
        <charset val="1"/>
      </rPr>
      <t>⁺OCODE</t>
    </r>
    <r>
      <rPr>
        <sz val="14"/>
        <color theme="1"/>
        <rFont val="游ゴシック"/>
        <family val="2"/>
        <charset val="128"/>
        <scheme val="minor"/>
      </rPr>
      <t>(4桁)例:JCOG1503C_0301</t>
    </r>
    <rPh sb="3" eb="5">
      <t>バンゴウ</t>
    </rPh>
    <rPh sb="5" eb="7">
      <t>ショシキ</t>
    </rPh>
    <rPh sb="8" eb="10">
      <t>セットウ</t>
    </rPh>
    <rPh sb="10" eb="11">
      <t>ジ</t>
    </rPh>
    <rPh sb="19" eb="20">
      <t>ケタ</t>
    </rPh>
    <rPh sb="21" eb="22">
      <t>レイ</t>
    </rPh>
    <phoneticPr fontId="1"/>
  </si>
  <si>
    <t>試験名</t>
    <rPh sb="0" eb="2">
      <t>シケン</t>
    </rPh>
    <rPh sb="2" eb="3">
      <t>メイ</t>
    </rPh>
    <phoneticPr fontId="1"/>
  </si>
  <si>
    <t>抽出条件</t>
    <rPh sb="0" eb="2">
      <t>チュウシュツ</t>
    </rPh>
    <rPh sb="2" eb="4">
      <t>ジョウケン</t>
    </rPh>
    <phoneticPr fontId="1"/>
  </si>
  <si>
    <t>TOUROKUBI</t>
    <phoneticPr fontId="1"/>
  </si>
  <si>
    <t>PRTNAME=</t>
    <phoneticPr fontId="1"/>
  </si>
  <si>
    <t>OCODE</t>
    <phoneticPr fontId="1"/>
  </si>
  <si>
    <t>施設名</t>
    <rPh sb="0" eb="2">
      <t>シセツ</t>
    </rPh>
    <rPh sb="2" eb="3">
      <t>メイ</t>
    </rPh>
    <phoneticPr fontId="1"/>
  </si>
  <si>
    <t>担当医</t>
    <rPh sb="0" eb="2">
      <t>タントウ</t>
    </rPh>
    <rPh sb="2" eb="3">
      <t>イ</t>
    </rPh>
    <phoneticPr fontId="1"/>
  </si>
  <si>
    <t>TOUROKUDRFULLNAME</t>
    <phoneticPr fontId="1"/>
  </si>
  <si>
    <t>登録番号</t>
    <rPh sb="0" eb="2">
      <t>トウロク</t>
    </rPh>
    <rPh sb="2" eb="4">
      <t>バンゴウ</t>
    </rPh>
    <phoneticPr fontId="1"/>
  </si>
  <si>
    <t>PATID</t>
    <phoneticPr fontId="1"/>
  </si>
  <si>
    <t>登録日</t>
    <phoneticPr fontId="1"/>
  </si>
  <si>
    <t>割付群</t>
    <rPh sb="0" eb="2">
      <t>ワリツケ</t>
    </rPh>
    <rPh sb="2" eb="3">
      <t>グン</t>
    </rPh>
    <phoneticPr fontId="1"/>
  </si>
  <si>
    <t>ARMID</t>
    <phoneticPr fontId="1"/>
  </si>
  <si>
    <t>テーブル名</t>
    <rPh sb="4" eb="5">
      <t>メイ</t>
    </rPh>
    <phoneticPr fontId="1"/>
  </si>
  <si>
    <t>ARMID=</t>
    <phoneticPr fontId="1"/>
  </si>
  <si>
    <t>touroku</t>
    <phoneticPr fontId="1"/>
  </si>
  <si>
    <t>抽出項目</t>
    <rPh sb="0" eb="2">
      <t>チュウシュツ</t>
    </rPh>
    <rPh sb="2" eb="4">
      <t>コウモク</t>
    </rPh>
    <phoneticPr fontId="1"/>
  </si>
  <si>
    <t>mdb上の抽出式</t>
    <rPh sb="3" eb="4">
      <t>ジョウ</t>
    </rPh>
    <rPh sb="5" eb="7">
      <t>チュウシュツ</t>
    </rPh>
    <rPh sb="7" eb="8">
      <t>シキ</t>
    </rPh>
    <phoneticPr fontId="1"/>
  </si>
  <si>
    <t>mdb上の項目式</t>
    <rPh sb="3" eb="4">
      <t>ジョウ</t>
    </rPh>
    <rPh sb="5" eb="7">
      <t>コウモク</t>
    </rPh>
    <rPh sb="7" eb="8">
      <t>シキ</t>
    </rPh>
    <phoneticPr fontId="1"/>
  </si>
  <si>
    <t>mdbファイル名</t>
    <rPh sb="7" eb="8">
      <t>メイ</t>
    </rPh>
    <phoneticPr fontId="1"/>
  </si>
  <si>
    <t>MDB保存先</t>
    <rPh sb="3" eb="5">
      <t>ホゾン</t>
    </rPh>
    <rPh sb="5" eb="6">
      <t>サキ</t>
    </rPh>
    <phoneticPr fontId="1"/>
  </si>
  <si>
    <t>患者登録状況一覧template</t>
    <rPh sb="0" eb="2">
      <t>カンジャ</t>
    </rPh>
    <rPh sb="2" eb="4">
      <t>トウロク</t>
    </rPh>
    <rPh sb="4" eb="6">
      <t>ジョウキョウ</t>
    </rPh>
    <rPh sb="6" eb="8">
      <t>イチラン</t>
    </rPh>
    <phoneticPr fontId="1"/>
  </si>
  <si>
    <t>マッピング（進捗リスト）</t>
    <rPh sb="6" eb="8">
      <t>シンチョク</t>
    </rPh>
    <phoneticPr fontId="1"/>
  </si>
  <si>
    <t>※本ツールと同じフォルダーに「実績登録状況一覧」出力先フォルダーが作成され、</t>
    <rPh sb="1" eb="2">
      <t>ホン</t>
    </rPh>
    <rPh sb="6" eb="7">
      <t>オナ</t>
    </rPh>
    <rPh sb="15" eb="17">
      <t>ジッセキ</t>
    </rPh>
    <rPh sb="17" eb="19">
      <t>トウロク</t>
    </rPh>
    <rPh sb="19" eb="21">
      <t>ジョウキョウ</t>
    </rPh>
    <rPh sb="21" eb="23">
      <t>イチラン</t>
    </rPh>
    <rPh sb="24" eb="26">
      <t>シュツリョク</t>
    </rPh>
    <rPh sb="26" eb="27">
      <t>サキ</t>
    </rPh>
    <rPh sb="33" eb="35">
      <t>サクセイ</t>
    </rPh>
    <phoneticPr fontId="1"/>
  </si>
  <si>
    <t>「患者登録状況一覧」保存されます。</t>
    <phoneticPr fontId="1"/>
  </si>
  <si>
    <t>最初は、OCODEの列を入力</t>
    <rPh sb="0" eb="2">
      <t>サイショ</t>
    </rPh>
    <rPh sb="10" eb="11">
      <t>レツ</t>
    </rPh>
    <rPh sb="12" eb="14">
      <t>ニュウリョク</t>
    </rPh>
    <phoneticPr fontId="1"/>
  </si>
  <si>
    <t>出力順</t>
    <rPh sb="0" eb="2">
      <t>シュツリョク</t>
    </rPh>
    <rPh sb="2" eb="3">
      <t>ジュン</t>
    </rPh>
    <phoneticPr fontId="1"/>
  </si>
  <si>
    <t>PATID</t>
    <phoneticPr fontId="1"/>
  </si>
  <si>
    <t>進捗リストLOT番号</t>
    <rPh sb="0" eb="2">
      <t>シンチョク</t>
    </rPh>
    <rPh sb="8" eb="10">
      <t>バンゴウ</t>
    </rPh>
    <phoneticPr fontId="1"/>
  </si>
  <si>
    <t>JCOG1502CAC2</t>
    <phoneticPr fontId="1"/>
  </si>
  <si>
    <t xml:space="preserve"> SAS登録数データ.mdb </t>
    <phoneticPr fontId="1"/>
  </si>
  <si>
    <t>TOPのフォルダー</t>
    <phoneticPr fontId="1"/>
  </si>
  <si>
    <t>作成する試験名</t>
    <rPh sb="0" eb="2">
      <t>サクセイ</t>
    </rPh>
    <rPh sb="4" eb="6">
      <t>シケン</t>
    </rPh>
    <rPh sb="6" eb="7">
      <t>メイ</t>
    </rPh>
    <phoneticPr fontId="1"/>
  </si>
  <si>
    <t>作成年度名</t>
    <rPh sb="0" eb="2">
      <t>サクセイ</t>
    </rPh>
    <rPh sb="2" eb="4">
      <t>ネンド</t>
    </rPh>
    <rPh sb="4" eb="5">
      <t>メイ</t>
    </rPh>
    <phoneticPr fontId="1"/>
  </si>
  <si>
    <t>更新する進捗リストファイル名</t>
    <rPh sb="0" eb="2">
      <t>コウシン</t>
    </rPh>
    <rPh sb="4" eb="6">
      <t>シンチョク</t>
    </rPh>
    <rPh sb="13" eb="14">
      <t>メイ</t>
    </rPh>
    <phoneticPr fontId="1"/>
  </si>
  <si>
    <t>フォルダー出力先（LOT番号の右に何番目）</t>
    <rPh sb="5" eb="7">
      <t>シュツリョク</t>
    </rPh>
    <rPh sb="7" eb="8">
      <t>サキ</t>
    </rPh>
    <rPh sb="12" eb="14">
      <t>バンゴウ</t>
    </rPh>
    <rPh sb="15" eb="16">
      <t>ミギ</t>
    </rPh>
    <rPh sb="17" eb="20">
      <t>ナンバンメ</t>
    </rPh>
    <phoneticPr fontId="1"/>
  </si>
  <si>
    <t>2020</t>
    <phoneticPr fontId="1"/>
  </si>
  <si>
    <t>OCODE　※進捗リストの列を指定</t>
    <phoneticPr fontId="1"/>
  </si>
  <si>
    <t>ONAME　※進捗リストの列を指定</t>
    <phoneticPr fontId="1"/>
  </si>
  <si>
    <t>作業STEP</t>
    <rPh sb="0" eb="2">
      <t>サギョウ</t>
    </rPh>
    <phoneticPr fontId="1"/>
  </si>
  <si>
    <t>進捗リストフォルダー追記列</t>
    <rPh sb="0" eb="2">
      <t>シンチョク</t>
    </rPh>
    <rPh sb="10" eb="12">
      <t>ツイキ</t>
    </rPh>
    <rPh sb="12" eb="13">
      <t>レツ</t>
    </rPh>
    <phoneticPr fontId="1"/>
  </si>
  <si>
    <t>施設毎の登録数（LOT番号の右に何番目）</t>
    <rPh sb="0" eb="2">
      <t>シセツ</t>
    </rPh>
    <rPh sb="2" eb="3">
      <t>ゴト</t>
    </rPh>
    <rPh sb="4" eb="7">
      <t>トウロクスウ</t>
    </rPh>
    <rPh sb="11" eb="13">
      <t>バンゴウ</t>
    </rPh>
    <rPh sb="14" eb="15">
      <t>ミギ</t>
    </rPh>
    <rPh sb="16" eb="19">
      <t>ナンバンメ</t>
    </rPh>
    <phoneticPr fontId="1"/>
  </si>
  <si>
    <t>作成</t>
    <rPh sb="0" eb="2">
      <t>サクセイ</t>
    </rPh>
    <phoneticPr fontId="1"/>
  </si>
  <si>
    <t>BT</t>
    <phoneticPr fontId="1"/>
  </si>
  <si>
    <t>不整合の結果出力先（LOT番号の右に何番目）</t>
    <rPh sb="0" eb="3">
      <t>フセイゴウ</t>
    </rPh>
    <rPh sb="4" eb="6">
      <t>ケッカ</t>
    </rPh>
    <rPh sb="6" eb="8">
      <t>シュツリョク</t>
    </rPh>
    <rPh sb="8" eb="9">
      <t>サキ</t>
    </rPh>
    <phoneticPr fontId="1"/>
  </si>
  <si>
    <t>出力先フォルダー選択（作業ステップ）　※業務フォルダーで作成したフォルダー名</t>
    <rPh sb="0" eb="2">
      <t>シュツリョク</t>
    </rPh>
    <rPh sb="2" eb="3">
      <t>サキ</t>
    </rPh>
    <rPh sb="8" eb="10">
      <t>センタク</t>
    </rPh>
    <rPh sb="20" eb="22">
      <t>ギョウム</t>
    </rPh>
    <rPh sb="28" eb="30">
      <t>サクセイ</t>
    </rPh>
    <rPh sb="37" eb="38">
      <t>メイ</t>
    </rPh>
    <phoneticPr fontId="1"/>
  </si>
  <si>
    <t>実績報告書出力先</t>
    <rPh sb="0" eb="2">
      <t>ジッセキ</t>
    </rPh>
    <rPh sb="2" eb="5">
      <t>ホウコクショ</t>
    </rPh>
    <rPh sb="5" eb="7">
      <t>シュツリョク</t>
    </rPh>
    <rPh sb="7" eb="8">
      <t>サキ</t>
    </rPh>
    <phoneticPr fontId="1"/>
  </si>
  <si>
    <t>フォルダー名</t>
    <rPh sb="5" eb="6">
      <t>メイ</t>
    </rPh>
    <phoneticPr fontId="1"/>
  </si>
  <si>
    <r>
      <t>実績報告書</t>
    </r>
    <r>
      <rPr>
        <sz val="14"/>
        <color rgb="FFFF0000"/>
        <rFont val="游ゴシック"/>
        <family val="3"/>
        <charset val="128"/>
        <scheme val="minor"/>
      </rPr>
      <t>受領先</t>
    </r>
    <rPh sb="0" eb="2">
      <t>ジッセキ</t>
    </rPh>
    <rPh sb="2" eb="5">
      <t>ホウコクショ</t>
    </rPh>
    <rPh sb="5" eb="7">
      <t>ジュリョウ</t>
    </rPh>
    <rPh sb="7" eb="8">
      <t>サキ</t>
    </rPh>
    <phoneticPr fontId="1"/>
  </si>
  <si>
    <t>版：draft1.4　作成日：2020/05/25</t>
    <rPh sb="0" eb="1">
      <t>ハン</t>
    </rPh>
    <rPh sb="11" eb="12">
      <t>サク</t>
    </rPh>
    <phoneticPr fontId="1"/>
  </si>
  <si>
    <t>Wordファイル設定</t>
    <rPh sb="8" eb="10">
      <t>セッテイ</t>
    </rPh>
    <phoneticPr fontId="1"/>
  </si>
  <si>
    <t>Wordテンプレートファイル保存先</t>
    <rPh sb="14" eb="16">
      <t>ホゾン</t>
    </rPh>
    <rPh sb="16" eb="17">
      <t>サキ</t>
    </rPh>
    <phoneticPr fontId="1"/>
  </si>
  <si>
    <t>\\Mac\Home\Desktop\JCOG在宅作業\20200605_作業\JCOG1502CMailTmp</t>
    <phoneticPr fontId="1"/>
  </si>
  <si>
    <t>件名の行</t>
    <rPh sb="0" eb="2">
      <t>ケンメイ</t>
    </rPh>
    <rPh sb="3" eb="4">
      <t>ギョウ</t>
    </rPh>
    <phoneticPr fontId="1"/>
  </si>
  <si>
    <t>本文開始行</t>
    <rPh sb="0" eb="2">
      <t>ホンブン</t>
    </rPh>
    <rPh sb="2" eb="4">
      <t>カイシ</t>
    </rPh>
    <rPh sb="4" eb="5">
      <t>ギョウ</t>
    </rPh>
    <phoneticPr fontId="1"/>
  </si>
  <si>
    <t>＿</t>
    <phoneticPr fontId="1"/>
  </si>
  <si>
    <t>マッピング　WORDテンプレートファイルと進捗リスト変換</t>
    <rPh sb="21" eb="23">
      <t>シンチョク</t>
    </rPh>
    <rPh sb="26" eb="28">
      <t>ヘンカン</t>
    </rPh>
    <phoneticPr fontId="1"/>
  </si>
  <si>
    <t>JCOG1502_53B_＊＊＊＊病院_様式第1号(別添1).xlsx</t>
    <phoneticPr fontId="1"/>
  </si>
  <si>
    <t>患者登録番号_JCOG1502_＊＊＊＊病院.xlsx</t>
    <phoneticPr fontId="1"/>
  </si>
  <si>
    <t>様式第1号(別添1)_記載手引き_JCOG1502C.PDF</t>
    <phoneticPr fontId="1"/>
  </si>
  <si>
    <t>実績0件_JCOG1502C.xlsx　</t>
    <phoneticPr fontId="1"/>
  </si>
  <si>
    <t>b7-1-1&lt;添付File名＞</t>
    <phoneticPr fontId="1"/>
  </si>
  <si>
    <t>BB</t>
    <phoneticPr fontId="1"/>
  </si>
  <si>
    <t>患者登録数〈添付〉</t>
    <phoneticPr fontId="1"/>
  </si>
  <si>
    <t>BF</t>
    <phoneticPr fontId="1"/>
  </si>
  <si>
    <t>手引き</t>
    <phoneticPr fontId="1"/>
  </si>
  <si>
    <t>実績0件&lt;添付File名＞</t>
    <phoneticPr fontId="1"/>
  </si>
  <si>
    <t>BC</t>
    <phoneticPr fontId="1"/>
  </si>
  <si>
    <t>b7-1&lt;添付File名＞</t>
    <phoneticPr fontId="1"/>
  </si>
  <si>
    <t>定形文字置換　WORD本文中の置換文字</t>
    <rPh sb="0" eb="2">
      <t>テイケイ</t>
    </rPh>
    <rPh sb="2" eb="4">
      <t>モジ</t>
    </rPh>
    <rPh sb="4" eb="6">
      <t>チカン</t>
    </rPh>
    <rPh sb="11" eb="13">
      <t>ホンブン</t>
    </rPh>
    <rPh sb="13" eb="14">
      <t>チュウ</t>
    </rPh>
    <rPh sb="15" eb="17">
      <t>チカン</t>
    </rPh>
    <rPh sb="17" eb="19">
      <t>モジ</t>
    </rPh>
    <phoneticPr fontId="1"/>
  </si>
  <si>
    <t>0.実績あり</t>
  </si>
  <si>
    <t>2.実績なし</t>
    <rPh sb="2" eb="4">
      <t>ジッセキ</t>
    </rPh>
    <phoneticPr fontId="1"/>
  </si>
  <si>
    <t>1.実績あり 新規</t>
  </si>
  <si>
    <t>WORDテンプレートファイル識別列</t>
    <rPh sb="14" eb="16">
      <t>シキベツ</t>
    </rPh>
    <rPh sb="16" eb="17">
      <t>レツ</t>
    </rPh>
    <phoneticPr fontId="1"/>
  </si>
  <si>
    <t>AZ</t>
    <phoneticPr fontId="1"/>
  </si>
  <si>
    <t>実績あり_JCOG1502_先進定期報告依頼文.docx</t>
    <phoneticPr fontId="1"/>
  </si>
  <si>
    <t>実績なし_JCOG1502_先進定期報告依頼文.docx</t>
    <phoneticPr fontId="1"/>
  </si>
  <si>
    <t>新規_実績あり_JCOG1502_先進定期報告依頼文.docx</t>
    <phoneticPr fontId="1"/>
  </si>
  <si>
    <t>添付ファイル</t>
    <phoneticPr fontId="1"/>
  </si>
  <si>
    <t>添付ファイル</t>
    <rPh sb="0" eb="2">
      <t>テンプ</t>
    </rPh>
    <phoneticPr fontId="1"/>
  </si>
  <si>
    <t>患者登録数〈添付〉</t>
    <rPh sb="0" eb="2">
      <t>カンジャ</t>
    </rPh>
    <rPh sb="2" eb="4">
      <t>トウロク</t>
    </rPh>
    <rPh sb="4" eb="5">
      <t>スウ</t>
    </rPh>
    <rPh sb="6" eb="8">
      <t>テンプ</t>
    </rPh>
    <phoneticPr fontId="1"/>
  </si>
  <si>
    <t>b7-1&lt;添付File名＞</t>
    <rPh sb="5" eb="7">
      <t>テンプ</t>
    </rPh>
    <rPh sb="11" eb="12">
      <t>メイ</t>
    </rPh>
    <phoneticPr fontId="1"/>
  </si>
  <si>
    <t>手引き</t>
    <rPh sb="0" eb="2">
      <t>テビ</t>
    </rPh>
    <phoneticPr fontId="1"/>
  </si>
  <si>
    <t>添付ファイル種別_進捗リスト項目名</t>
    <rPh sb="0" eb="2">
      <t>テンプ</t>
    </rPh>
    <rPh sb="6" eb="8">
      <t>シュベツ</t>
    </rPh>
    <rPh sb="14" eb="16">
      <t>コウモク</t>
    </rPh>
    <rPh sb="16" eb="17">
      <t>メイ</t>
    </rPh>
    <phoneticPr fontId="1"/>
  </si>
  <si>
    <t>列番号</t>
    <rPh sb="0" eb="3">
      <t>レツバンゴウ</t>
    </rPh>
    <phoneticPr fontId="1"/>
  </si>
  <si>
    <t>KEYWORD</t>
    <phoneticPr fontId="1"/>
  </si>
  <si>
    <t>文字列</t>
    <rPh sb="0" eb="3">
      <t>モジレツ</t>
    </rPh>
    <phoneticPr fontId="1"/>
  </si>
  <si>
    <t>実施件数が0件だった理由（別添4）</t>
    <rPh sb="0" eb="2">
      <t>ジッシ</t>
    </rPh>
    <rPh sb="2" eb="4">
      <t>ケンスウ</t>
    </rPh>
    <rPh sb="6" eb="7">
      <t>ケン</t>
    </rPh>
    <rPh sb="10" eb="12">
      <t>リユウ</t>
    </rPh>
    <rPh sb="13" eb="15">
      <t>ベッテン</t>
    </rPh>
    <phoneticPr fontId="1"/>
  </si>
  <si>
    <t>実績0件</t>
    <rPh sb="0" eb="2">
      <t>ジッセキ</t>
    </rPh>
    <rPh sb="3" eb="4">
      <t>ケン</t>
    </rPh>
    <phoneticPr fontId="1"/>
  </si>
  <si>
    <t>申請医療機関名</t>
    <rPh sb="0" eb="2">
      <t>シンセイ</t>
    </rPh>
    <rPh sb="2" eb="4">
      <t>イリョウ</t>
    </rPh>
    <rPh sb="4" eb="6">
      <t>キカン</t>
    </rPh>
    <rPh sb="6" eb="7">
      <t>メイ</t>
    </rPh>
    <phoneticPr fontId="1"/>
  </si>
  <si>
    <t>実績0件_JCOG1502C.xlsx</t>
    <phoneticPr fontId="1"/>
  </si>
  <si>
    <t>データ挿入先シート名</t>
    <rPh sb="3" eb="5">
      <t>ソウニュウ</t>
    </rPh>
    <rPh sb="5" eb="6">
      <t>サキ</t>
    </rPh>
    <rPh sb="9" eb="10">
      <t>メイ</t>
    </rPh>
    <phoneticPr fontId="1"/>
  </si>
  <si>
    <t>1年間の実施件数が0件だった理由（別添4）</t>
    <phoneticPr fontId="1"/>
  </si>
  <si>
    <t>実績報告</t>
    <rPh sb="0" eb="2">
      <t>ジッセキ</t>
    </rPh>
    <rPh sb="2" eb="4">
      <t>ホウコク</t>
    </rPh>
    <phoneticPr fontId="1"/>
  </si>
  <si>
    <t>ファイル形式</t>
    <rPh sb="4" eb="6">
      <t>ケイシキ</t>
    </rPh>
    <phoneticPr fontId="1"/>
  </si>
  <si>
    <t>.xlsx</t>
    <phoneticPr fontId="1"/>
  </si>
  <si>
    <t>.xls</t>
    <phoneticPr fontId="1"/>
  </si>
  <si>
    <t>宛名</t>
    <rPh sb="0" eb="2">
      <t>アテナ</t>
    </rPh>
    <phoneticPr fontId="1"/>
  </si>
  <si>
    <t>TOアドレス</t>
    <phoneticPr fontId="1"/>
  </si>
  <si>
    <t>CCアドレス</t>
    <phoneticPr fontId="1"/>
  </si>
  <si>
    <t>V</t>
    <phoneticPr fontId="1"/>
  </si>
  <si>
    <t>出力先フォルダー選択（作業ステップ）　※業務フォルダーで作成したフォルダー名</t>
  </si>
  <si>
    <t>転送ファイル拡張子</t>
  </si>
  <si>
    <t>.xls</t>
  </si>
  <si>
    <t>.doc</t>
    <phoneticPr fontId="1"/>
  </si>
  <si>
    <t>コピーできるファイル形式</t>
    <rPh sb="10" eb="12">
      <t>ケイシキ</t>
    </rPh>
    <phoneticPr fontId="1"/>
  </si>
  <si>
    <t>.xls</t>
    <phoneticPr fontId="1"/>
  </si>
  <si>
    <t>.xlsx</t>
  </si>
  <si>
    <t>.xlsx</t>
    <phoneticPr fontId="1"/>
  </si>
  <si>
    <t>.pdf</t>
    <phoneticPr fontId="1"/>
  </si>
  <si>
    <r>
      <t>LOT番号書式　接頭字</t>
    </r>
    <r>
      <rPr>
        <sz val="14"/>
        <color theme="0" tint="-0.34998626667073579"/>
        <rFont val="Tahoma"/>
        <family val="2"/>
        <charset val="1"/>
      </rPr>
      <t>⁺OCODE</t>
    </r>
    <r>
      <rPr>
        <sz val="14"/>
        <color theme="0" tint="-0.34998626667073579"/>
        <rFont val="游ゴシック"/>
        <family val="2"/>
        <charset val="128"/>
        <scheme val="minor"/>
      </rPr>
      <t>(4桁)例:JCOG1503C_0301</t>
    </r>
    <rPh sb="3" eb="5">
      <t>バンゴウ</t>
    </rPh>
    <rPh sb="5" eb="7">
      <t>ショシキ</t>
    </rPh>
    <rPh sb="8" eb="10">
      <t>セットウ</t>
    </rPh>
    <rPh sb="10" eb="11">
      <t>ジ</t>
    </rPh>
    <rPh sb="19" eb="20">
      <t>ケタ</t>
    </rPh>
    <rPh sb="21" eb="22">
      <t>レイ</t>
    </rPh>
    <phoneticPr fontId="1"/>
  </si>
  <si>
    <t>記載の手引き</t>
    <phoneticPr fontId="1"/>
  </si>
  <si>
    <t>コピー元　例）記載の手引き</t>
    <rPh sb="3" eb="4">
      <t>モト</t>
    </rPh>
    <rPh sb="5" eb="6">
      <t>レイ</t>
    </rPh>
    <rPh sb="7" eb="9">
      <t>キサイ</t>
    </rPh>
    <rPh sb="10" eb="12">
      <t>テビ</t>
    </rPh>
    <phoneticPr fontId="1"/>
  </si>
  <si>
    <t>開始日</t>
  </si>
  <si>
    <t>TOUROKUBI&gt;=</t>
  </si>
  <si>
    <t>終了日</t>
  </si>
  <si>
    <t>TOUROKUBI&lt;=</t>
  </si>
  <si>
    <t>BK</t>
    <phoneticPr fontId="1"/>
  </si>
  <si>
    <t>列番号</t>
    <rPh sb="0" eb="1">
      <t>レツ</t>
    </rPh>
    <rPh sb="1" eb="3">
      <t>バンゴウ</t>
    </rPh>
    <phoneticPr fontId="1"/>
  </si>
  <si>
    <t>宛先１</t>
    <rPh sb="0" eb="2">
      <t>アテサキ</t>
    </rPh>
    <phoneticPr fontId="1"/>
  </si>
  <si>
    <t>TOアドレス</t>
    <phoneticPr fontId="1"/>
  </si>
  <si>
    <t>CCアドレス１</t>
    <phoneticPr fontId="1"/>
  </si>
  <si>
    <t>AT</t>
    <phoneticPr fontId="1"/>
  </si>
  <si>
    <t>w1</t>
    <phoneticPr fontId="1"/>
  </si>
  <si>
    <t>w2</t>
    <phoneticPr fontId="1"/>
  </si>
  <si>
    <t>w3</t>
    <phoneticPr fontId="1"/>
  </si>
  <si>
    <t>w4</t>
  </si>
  <si>
    <t>w5</t>
  </si>
  <si>
    <t>w6</t>
  </si>
  <si>
    <t>w7</t>
  </si>
  <si>
    <t>w8</t>
  </si>
  <si>
    <t>WORDテンプレートファイル識別列の値
フォルダー:AZ列</t>
    <rPh sb="14" eb="16">
      <t>シキベツ</t>
    </rPh>
    <rPh sb="16" eb="17">
      <t>レツ</t>
    </rPh>
    <rPh sb="18" eb="19">
      <t>アタイ</t>
    </rPh>
    <rPh sb="28" eb="29">
      <t>レツ</t>
    </rPh>
    <phoneticPr fontId="1"/>
  </si>
  <si>
    <t>pgm内
格納変数</t>
    <rPh sb="3" eb="4">
      <t>ナイ</t>
    </rPh>
    <rPh sb="5" eb="7">
      <t>カクノウ</t>
    </rPh>
    <rPh sb="7" eb="9">
      <t>ヘンスウ</t>
    </rPh>
    <phoneticPr fontId="1"/>
  </si>
  <si>
    <t>-</t>
    <phoneticPr fontId="1"/>
  </si>
  <si>
    <t>テンプレートファイル条件</t>
    <rPh sb="10" eb="12">
      <t>ジョウケン</t>
    </rPh>
    <phoneticPr fontId="1"/>
  </si>
  <si>
    <t>F</t>
    <phoneticPr fontId="1"/>
  </si>
  <si>
    <t>WORDテンプレートファイル保存先フォルダー</t>
    <rPh sb="14" eb="16">
      <t>ホゾン</t>
    </rPh>
    <rPh sb="16" eb="17">
      <t>サキ</t>
    </rPh>
    <phoneticPr fontId="1"/>
  </si>
  <si>
    <t>wrdTmp</t>
    <phoneticPr fontId="1"/>
  </si>
  <si>
    <t>7月31日（水）</t>
    <phoneticPr fontId="1"/>
  </si>
  <si>
    <t>　</t>
    <phoneticPr fontId="1"/>
  </si>
  <si>
    <t>全角1文字のスペース</t>
    <rPh sb="0" eb="2">
      <t>ゼンカク</t>
    </rPh>
    <rPh sb="3" eb="5">
      <t>モジ</t>
    </rPh>
    <phoneticPr fontId="1"/>
  </si>
  <si>
    <t>&lt;期限&gt;</t>
    <rPh sb="1" eb="3">
      <t>キゲン</t>
    </rPh>
    <phoneticPr fontId="1"/>
  </si>
  <si>
    <t>※半角スペースは対応不可です。</t>
    <rPh sb="1" eb="3">
      <t>ハンカク</t>
    </rPh>
    <rPh sb="8" eb="10">
      <t>タイオウ</t>
    </rPh>
    <rPh sb="10" eb="12">
      <t>フカ</t>
    </rPh>
    <phoneticPr fontId="1"/>
  </si>
  <si>
    <t>病院名＊＊＊＊</t>
    <phoneticPr fontId="1"/>
  </si>
  <si>
    <t>（算定開始日）</t>
  </si>
  <si>
    <t>Z</t>
    <phoneticPr fontId="1"/>
  </si>
  <si>
    <t>＊＊＊＊病院</t>
    <phoneticPr fontId="1"/>
  </si>
  <si>
    <t>空白のデータがある場合は、一番最後の列に</t>
    <rPh sb="0" eb="2">
      <t>クウハク</t>
    </rPh>
    <rPh sb="9" eb="11">
      <t>バアイ</t>
    </rPh>
    <rPh sb="13" eb="15">
      <t>イチバン</t>
    </rPh>
    <rPh sb="15" eb="17">
      <t>サイゴ</t>
    </rPh>
    <rPh sb="18" eb="19">
      <t>レツ</t>
    </rPh>
    <phoneticPr fontId="1"/>
  </si>
  <si>
    <t>※患者登録数は、空白のデータが存在するため最後</t>
    <rPh sb="1" eb="3">
      <t>カンジャ</t>
    </rPh>
    <rPh sb="3" eb="6">
      <t>トウロクスウ</t>
    </rPh>
    <rPh sb="8" eb="10">
      <t>クウハク</t>
    </rPh>
    <rPh sb="15" eb="17">
      <t>ソンザイ</t>
    </rPh>
    <rPh sb="21" eb="23">
      <t>サイゴ</t>
    </rPh>
    <phoneticPr fontId="1"/>
  </si>
  <si>
    <t>進捗に、空白のデータがある場合は、一番最後の列に</t>
    <rPh sb="0" eb="2">
      <t>シンチョク</t>
    </rPh>
    <rPh sb="4" eb="6">
      <t>クウハク</t>
    </rPh>
    <rPh sb="13" eb="15">
      <t>バアイ</t>
    </rPh>
    <rPh sb="17" eb="19">
      <t>イチバン</t>
    </rPh>
    <rPh sb="19" eb="21">
      <t>サイゴ</t>
    </rPh>
    <rPh sb="22" eb="23">
      <t>レツ</t>
    </rPh>
    <phoneticPr fontId="1"/>
  </si>
  <si>
    <t>ブランク</t>
    <phoneticPr fontId="1"/>
  </si>
  <si>
    <t>ZZ</t>
    <phoneticPr fontId="1"/>
  </si>
  <si>
    <t>システム仕組み上、最後に必ず空白行を指定すること</t>
    <rPh sb="4" eb="6">
      <t>シク</t>
    </rPh>
    <rPh sb="7" eb="8">
      <t>ジョウ</t>
    </rPh>
    <rPh sb="9" eb="11">
      <t>サイゴ</t>
    </rPh>
    <rPh sb="12" eb="13">
      <t>カナラ</t>
    </rPh>
    <rPh sb="14" eb="16">
      <t>クウハク</t>
    </rPh>
    <rPh sb="16" eb="17">
      <t>ギョウ</t>
    </rPh>
    <rPh sb="18" eb="20">
      <t>シテイ</t>
    </rPh>
    <phoneticPr fontId="1"/>
  </si>
  <si>
    <t>システム仕組み上、テンプレートファイルの条件を最初に指定すること</t>
    <rPh sb="4" eb="6">
      <t>シク</t>
    </rPh>
    <rPh sb="7" eb="8">
      <t>ジョウ</t>
    </rPh>
    <rPh sb="20" eb="22">
      <t>ジョウケン</t>
    </rPh>
    <rPh sb="23" eb="25">
      <t>サイショ</t>
    </rPh>
    <rPh sb="26" eb="28">
      <t>シテイ</t>
    </rPh>
    <phoneticPr fontId="1"/>
  </si>
  <si>
    <t>空白のデータが存在する場合は、2行目以降に指定する</t>
    <rPh sb="0" eb="2">
      <t>クウハク</t>
    </rPh>
    <rPh sb="7" eb="9">
      <t>ソンザイ</t>
    </rPh>
    <rPh sb="11" eb="13">
      <t>バアイ</t>
    </rPh>
    <rPh sb="16" eb="17">
      <t>ギョウ</t>
    </rPh>
    <rPh sb="17" eb="18">
      <t>メ</t>
    </rPh>
    <rPh sb="18" eb="20">
      <t>イコウ</t>
    </rPh>
    <rPh sb="21" eb="23">
      <t>シテイ</t>
    </rPh>
    <phoneticPr fontId="1"/>
  </si>
  <si>
    <t>ファイル名は拡張子（*.xls）つきで！</t>
    <rPh sb="4" eb="5">
      <t>メイ</t>
    </rPh>
    <rPh sb="6" eb="9">
      <t>カクチョウシ</t>
    </rPh>
    <phoneticPr fontId="1"/>
  </si>
  <si>
    <t>ファイル名は拡張子（*.xlsx）つきで！</t>
    <rPh sb="4" eb="5">
      <t>メイ</t>
    </rPh>
    <rPh sb="6" eb="9">
      <t>カクチョウシ</t>
    </rPh>
    <phoneticPr fontId="1"/>
  </si>
  <si>
    <t>ファイル名は拡張子つきで！</t>
    <rPh sb="4" eb="5">
      <t>メイ</t>
    </rPh>
    <rPh sb="6" eb="9">
      <t>カクチョウシ</t>
    </rPh>
    <phoneticPr fontId="1"/>
  </si>
  <si>
    <t>ファイル名は拡張子（*.doc）つきで！</t>
    <rPh sb="4" eb="5">
      <t>メイ</t>
    </rPh>
    <rPh sb="6" eb="9">
      <t>カクチョウシ</t>
    </rPh>
    <phoneticPr fontId="1"/>
  </si>
  <si>
    <t>※テンプレートが3つ以上の試験の場合、格納変数を増やす処理を行いますので、システム部門まで</t>
    <rPh sb="10" eb="12">
      <t>イジョウ</t>
    </rPh>
    <rPh sb="13" eb="15">
      <t>シケン</t>
    </rPh>
    <rPh sb="16" eb="18">
      <t>バアイ</t>
    </rPh>
    <rPh sb="19" eb="21">
      <t>カクノウ</t>
    </rPh>
    <rPh sb="21" eb="23">
      <t>ヘンスウ</t>
    </rPh>
    <rPh sb="24" eb="25">
      <t>フ</t>
    </rPh>
    <rPh sb="27" eb="29">
      <t>ショリ</t>
    </rPh>
    <rPh sb="30" eb="31">
      <t>オコナ</t>
    </rPh>
    <rPh sb="41" eb="43">
      <t>ブモン</t>
    </rPh>
    <phoneticPr fontId="1"/>
  </si>
  <si>
    <t>実績報告書templateフォルダー</t>
    <rPh sb="0" eb="2">
      <t>ジッセキ</t>
    </rPh>
    <rPh sb="2" eb="5">
      <t>ホウコクショ</t>
    </rPh>
    <phoneticPr fontId="1"/>
  </si>
  <si>
    <t>実績0件&lt;添付File名＞</t>
  </si>
  <si>
    <t>別添4_実績0件理由</t>
    <phoneticPr fontId="1"/>
  </si>
  <si>
    <t>JCOG1502_53B_＊＊＊＊病院_様式第1号.docx</t>
    <phoneticPr fontId="1"/>
  </si>
  <si>
    <t>試験NO</t>
    <rPh sb="0" eb="2">
      <t>シケン</t>
    </rPh>
    <phoneticPr fontId="1"/>
  </si>
  <si>
    <t>進捗リストファイル名</t>
    <rPh sb="0" eb="2">
      <t>シンチョク</t>
    </rPh>
    <rPh sb="9" eb="10">
      <t>メイ</t>
    </rPh>
    <phoneticPr fontId="1"/>
  </si>
  <si>
    <t>読み込みフラグ</t>
    <rPh sb="0" eb="1">
      <t>ヨ</t>
    </rPh>
    <rPh sb="2" eb="3">
      <t>コ</t>
    </rPh>
    <phoneticPr fontId="1"/>
  </si>
  <si>
    <t>医療機関名</t>
    <rPh sb="0" eb="2">
      <t>イリョウ</t>
    </rPh>
    <rPh sb="2" eb="5">
      <t>キカンメイ</t>
    </rPh>
    <phoneticPr fontId="1"/>
  </si>
  <si>
    <t>共通項目名</t>
    <rPh sb="0" eb="2">
      <t>キョウツウ</t>
    </rPh>
    <rPh sb="2" eb="4">
      <t>コウモク</t>
    </rPh>
    <rPh sb="4" eb="5">
      <t>メイ</t>
    </rPh>
    <phoneticPr fontId="1"/>
  </si>
  <si>
    <t>入力例</t>
    <rPh sb="0" eb="2">
      <t>ニュウリョク</t>
    </rPh>
    <rPh sb="2" eb="3">
      <t>レイ</t>
    </rPh>
    <phoneticPr fontId="1"/>
  </si>
  <si>
    <t>進捗リストの最後列</t>
    <rPh sb="0" eb="2">
      <t>シンチョク</t>
    </rPh>
    <rPh sb="6" eb="9">
      <t>サイコウレツ</t>
    </rPh>
    <phoneticPr fontId="1"/>
  </si>
  <si>
    <t>進捗リストのOCODE記載列</t>
    <rPh sb="0" eb="2">
      <t>シンチョク</t>
    </rPh>
    <rPh sb="11" eb="13">
      <t>キサイ</t>
    </rPh>
    <rPh sb="13" eb="14">
      <t>レツ</t>
    </rPh>
    <phoneticPr fontId="1"/>
  </si>
  <si>
    <t>設定</t>
    <rPh sb="0" eb="2">
      <t>セッテイ</t>
    </rPh>
    <phoneticPr fontId="1"/>
  </si>
  <si>
    <t>進捗リストのシート名 〔1503C〕</t>
    <rPh sb="0" eb="2">
      <t>シンチョク</t>
    </rPh>
    <rPh sb="9" eb="10">
      <t>メイ</t>
    </rPh>
    <phoneticPr fontId="1"/>
  </si>
  <si>
    <t>進捗リストのファイル名拡張子付き〔JCOG1502C_定期情報_進捗リスト.xlsx〕</t>
    <rPh sb="0" eb="2">
      <t>シンチョク</t>
    </rPh>
    <rPh sb="10" eb="11">
      <t>メイ</t>
    </rPh>
    <rPh sb="11" eb="14">
      <t>カクチョウシ</t>
    </rPh>
    <rPh sb="14" eb="15">
      <t>ツ</t>
    </rPh>
    <phoneticPr fontId="1"/>
  </si>
  <si>
    <t>試験名　〔JCOG1503C〕</t>
    <rPh sb="0" eb="2">
      <t>シケン</t>
    </rPh>
    <rPh sb="2" eb="3">
      <t>メイ</t>
    </rPh>
    <phoneticPr fontId="1"/>
  </si>
  <si>
    <t>1503C</t>
    <phoneticPr fontId="1"/>
  </si>
  <si>
    <t>CE</t>
    <phoneticPr fontId="1"/>
  </si>
  <si>
    <t>試験名　〔自動入力B2＝B6：JCOG1503C〕</t>
    <rPh sb="0" eb="2">
      <t>シケン</t>
    </rPh>
    <rPh sb="2" eb="3">
      <t>メイ</t>
    </rPh>
    <rPh sb="5" eb="7">
      <t>ジドウ</t>
    </rPh>
    <rPh sb="7" eb="9">
      <t>ニュウリョク</t>
    </rPh>
    <phoneticPr fontId="1"/>
  </si>
  <si>
    <t>AQ</t>
    <phoneticPr fontId="1"/>
  </si>
  <si>
    <t>CC</t>
    <phoneticPr fontId="1"/>
  </si>
  <si>
    <t>AZ</t>
    <phoneticPr fontId="1"/>
  </si>
  <si>
    <t>読み込みフラグ列(識別列)</t>
    <rPh sb="0" eb="1">
      <t>ヨ</t>
    </rPh>
    <rPh sb="2" eb="3">
      <t>コ</t>
    </rPh>
    <rPh sb="7" eb="8">
      <t>レツ</t>
    </rPh>
    <rPh sb="9" eb="11">
      <t>シキベツ</t>
    </rPh>
    <rPh sb="11" eb="12">
      <t>レツ</t>
    </rPh>
    <phoneticPr fontId="1"/>
  </si>
  <si>
    <t>G12</t>
    <phoneticPr fontId="1"/>
  </si>
  <si>
    <t>H12</t>
    <phoneticPr fontId="1"/>
  </si>
  <si>
    <t>JCOG1503C</t>
    <phoneticPr fontId="1"/>
  </si>
  <si>
    <t>JCOG1503C_定期報告進捗リスト.xlsx</t>
    <phoneticPr fontId="1"/>
  </si>
  <si>
    <t>更新</t>
    <rPh sb="0" eb="2">
      <t>コウシン</t>
    </rPh>
    <phoneticPr fontId="1"/>
  </si>
  <si>
    <t>E</t>
    <phoneticPr fontId="1"/>
  </si>
  <si>
    <t>BU</t>
    <phoneticPr fontId="1"/>
  </si>
  <si>
    <r>
      <t>LOT番号書式　接頭字</t>
    </r>
    <r>
      <rPr>
        <sz val="14"/>
        <color theme="1"/>
        <rFont val="ＭＳ Ｐゴシック"/>
        <family val="3"/>
        <charset val="128"/>
      </rPr>
      <t>⁺</t>
    </r>
    <r>
      <rPr>
        <sz val="14"/>
        <color theme="1"/>
        <rFont val="Tahoma"/>
        <family val="2"/>
        <charset val="1"/>
      </rPr>
      <t>OCODE</t>
    </r>
    <r>
      <rPr>
        <sz val="14"/>
        <color theme="1"/>
        <rFont val="游ゴシック"/>
        <family val="2"/>
        <charset val="128"/>
        <scheme val="minor"/>
      </rPr>
      <t>(4桁)例:JCOG1503C_0301</t>
    </r>
    <rPh sb="3" eb="5">
      <t>バンゴウ</t>
    </rPh>
    <rPh sb="5" eb="7">
      <t>ショシキ</t>
    </rPh>
    <rPh sb="8" eb="10">
      <t>セットウ</t>
    </rPh>
    <rPh sb="10" eb="11">
      <t>ジ</t>
    </rPh>
    <rPh sb="19" eb="20">
      <t>ケタ</t>
    </rPh>
    <rPh sb="21" eb="22">
      <t>レイ</t>
    </rPh>
    <phoneticPr fontId="1"/>
  </si>
  <si>
    <t>\\172.31.2.41\jcogdata\monthly_report\work\REGIST</t>
    <phoneticPr fontId="1"/>
  </si>
  <si>
    <t>見本_患者登録番号_1503XXX病院.xlsx</t>
    <phoneticPr fontId="1"/>
  </si>
  <si>
    <t>BD</t>
    <phoneticPr fontId="1"/>
  </si>
  <si>
    <t>Z:\Work先進医療\先進定期_システム_OP共通フォルダ\20201008_SYS作業</t>
    <phoneticPr fontId="1"/>
  </si>
  <si>
    <t>完成</t>
    <rPh sb="0" eb="2">
      <t>カンセイ</t>
    </rPh>
    <phoneticPr fontId="1"/>
  </si>
  <si>
    <t>BV</t>
  </si>
  <si>
    <t>.xlsm</t>
    <phoneticPr fontId="1"/>
  </si>
  <si>
    <t>b7-1-1.xlｍ</t>
    <phoneticPr fontId="1"/>
  </si>
  <si>
    <t>BM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</si>
</sst>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14"/>
      <color theme="1"/>
      <name val="Tahoma"/>
      <family val="2"/>
      <charset val="1"/>
    </font>
    <font>
      <sz val="14"/>
      <color theme="0" tint="-0.249977111117893"/>
      <name val="游ゴシック"/>
      <family val="2"/>
      <charset val="128"/>
      <scheme val="minor"/>
    </font>
    <font>
      <sz val="14"/>
      <color theme="0" tint="-0.249977111117893"/>
      <name val="游ゴシック"/>
      <family val="3"/>
      <charset val="128"/>
      <scheme val="minor"/>
    </font>
    <font>
      <sz val="14"/>
      <color theme="0" tint="-0.49998474074526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0" tint="-0.34998626667073579"/>
      <name val="游ゴシック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sz val="14"/>
      <color theme="0" tint="-0.34998626667073579"/>
      <name val="游ゴシック"/>
      <family val="2"/>
      <charset val="128"/>
      <scheme val="minor"/>
    </font>
    <font>
      <sz val="14"/>
      <color theme="0" tint="-0.14999847407452621"/>
      <name val="游ゴシック"/>
      <family val="2"/>
      <charset val="128"/>
      <scheme val="minor"/>
    </font>
    <font>
      <sz val="14"/>
      <color theme="0" tint="-0.34998626667073579"/>
      <name val="Tahoma"/>
      <family val="2"/>
      <charset val="1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11"/>
      <color theme="0" tint="-0.34998626667073579"/>
      <name val="游ゴシック"/>
      <family val="2"/>
      <charset val="128"/>
      <scheme val="minor"/>
    </font>
    <font>
      <u/>
      <sz val="11"/>
      <color theme="0" tint="-0.34998626667073579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1"/>
      <name val="ＭＳ Ｐゴシック"/>
      <family val="3"/>
      <charset val="128"/>
    </font>
    <font>
      <sz val="14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Gray"/>
    </fill>
    <fill>
      <patternFill patternType="lightGray">
        <bgColor rgb="FFFF0000"/>
      </patternFill>
    </fill>
    <fill>
      <patternFill patternType="lightGray">
        <bgColor theme="0" tint="-4.9989318521683403E-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 diagonalUp="1"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theme="5" tint="-0.24994659260841701"/>
      </left>
      <right style="thick">
        <color theme="5" tint="-0.24994659260841701"/>
      </right>
      <top style="thick">
        <color theme="5" tint="-0.24994659260841701"/>
      </top>
      <bottom/>
      <diagonal/>
    </border>
    <border>
      <left style="thick">
        <color theme="5" tint="-0.24994659260841701"/>
      </left>
      <right style="thick">
        <color theme="5" tint="-0.24994659260841701"/>
      </right>
      <top/>
      <bottom/>
      <diagonal/>
    </border>
    <border>
      <left style="thick">
        <color theme="5" tint="-0.24994659260841701"/>
      </left>
      <right style="thick">
        <color theme="5" tint="-0.24994659260841701"/>
      </right>
      <top/>
      <bottom style="thick">
        <color theme="5" tint="-0.24994659260841701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 style="medium">
        <color theme="5" tint="-0.249977111117893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2" fillId="3" borderId="0" xfId="0" applyFont="1" applyFill="1">
      <alignment vertical="center"/>
    </xf>
    <xf numFmtId="0" fontId="0" fillId="4" borderId="1" xfId="0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7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9" fillId="2" borderId="0" xfId="1" applyFill="1">
      <alignment vertical="center"/>
    </xf>
    <xf numFmtId="14" fontId="2" fillId="2" borderId="0" xfId="0" applyNumberFormat="1" applyFont="1" applyFill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vertical="top"/>
    </xf>
    <xf numFmtId="0" fontId="2" fillId="2" borderId="0" xfId="0" quotePrefix="1" applyNumberFormat="1" applyFont="1" applyFill="1">
      <alignment vertical="center"/>
    </xf>
    <xf numFmtId="0" fontId="10" fillId="4" borderId="0" xfId="0" applyFont="1" applyFill="1">
      <alignment vertical="center"/>
    </xf>
    <xf numFmtId="0" fontId="2" fillId="2" borderId="0" xfId="0" quotePrefix="1" applyFont="1" applyFill="1">
      <alignment vertical="center"/>
    </xf>
    <xf numFmtId="0" fontId="2" fillId="0" borderId="0" xfId="0" applyFont="1" applyAlignment="1">
      <alignment vertical="center" wrapText="1"/>
    </xf>
    <xf numFmtId="0" fontId="9" fillId="0" borderId="2" xfId="1" applyFill="1" applyBorder="1">
      <alignment vertical="center"/>
    </xf>
    <xf numFmtId="0" fontId="0" fillId="0" borderId="0" xfId="0" applyFill="1">
      <alignment vertical="center"/>
    </xf>
    <xf numFmtId="0" fontId="2" fillId="5" borderId="2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11" fillId="0" borderId="0" xfId="0" applyFont="1">
      <alignment vertical="center"/>
    </xf>
    <xf numFmtId="0" fontId="0" fillId="0" borderId="3" xfId="0" applyBorder="1">
      <alignment vertical="center"/>
    </xf>
    <xf numFmtId="14" fontId="11" fillId="0" borderId="3" xfId="0" applyNumberFormat="1" applyFont="1" applyBorder="1">
      <alignment vertical="center"/>
    </xf>
    <xf numFmtId="0" fontId="11" fillId="0" borderId="3" xfId="0" applyFont="1" applyBorder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3" xfId="0" applyFill="1" applyBorder="1">
      <alignment vertical="center"/>
    </xf>
    <xf numFmtId="0" fontId="12" fillId="0" borderId="3" xfId="0" applyFont="1" applyFill="1" applyBorder="1" applyAlignment="1">
      <alignment horizontal="left" vertical="center" wrapText="1"/>
    </xf>
    <xf numFmtId="0" fontId="0" fillId="0" borderId="3" xfId="0" applyFill="1" applyBorder="1" applyAlignment="1">
      <alignment horizontal="left" vertical="center" wrapText="1"/>
    </xf>
    <xf numFmtId="0" fontId="0" fillId="0" borderId="4" xfId="0" applyBorder="1">
      <alignment vertical="center"/>
    </xf>
    <xf numFmtId="0" fontId="13" fillId="0" borderId="0" xfId="0" applyFont="1" applyFill="1">
      <alignment vertical="center"/>
    </xf>
    <xf numFmtId="0" fontId="9" fillId="0" borderId="0" xfId="1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Border="1">
      <alignment vertical="center"/>
    </xf>
    <xf numFmtId="0" fontId="14" fillId="0" borderId="0" xfId="0" applyFont="1" applyFill="1">
      <alignment vertical="center"/>
    </xf>
    <xf numFmtId="0" fontId="13" fillId="4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14" fontId="2" fillId="2" borderId="0" xfId="0" quotePrefix="1" applyNumberFormat="1" applyFont="1" applyFill="1">
      <alignment vertical="center"/>
    </xf>
    <xf numFmtId="0" fontId="6" fillId="7" borderId="2" xfId="0" applyFont="1" applyFill="1" applyBorder="1">
      <alignment vertical="center"/>
    </xf>
    <xf numFmtId="0" fontId="7" fillId="8" borderId="0" xfId="0" applyFont="1" applyFill="1">
      <alignment vertical="center"/>
    </xf>
    <xf numFmtId="0" fontId="0" fillId="0" borderId="0" xfId="0" applyFill="1" applyBorder="1" applyAlignment="1">
      <alignment vertical="center" wrapText="1"/>
    </xf>
    <xf numFmtId="0" fontId="12" fillId="3" borderId="3" xfId="0" applyFont="1" applyFill="1" applyBorder="1" applyAlignment="1">
      <alignment horizontal="left" vertical="center" wrapText="1"/>
    </xf>
    <xf numFmtId="0" fontId="0" fillId="3" borderId="3" xfId="0" applyFill="1" applyBorder="1">
      <alignment vertical="center"/>
    </xf>
    <xf numFmtId="0" fontId="16" fillId="3" borderId="3" xfId="0" applyFont="1" applyFill="1" applyBorder="1">
      <alignment vertical="center"/>
    </xf>
    <xf numFmtId="0" fontId="16" fillId="3" borderId="0" xfId="0" applyFont="1" applyFill="1">
      <alignment vertical="center"/>
    </xf>
    <xf numFmtId="0" fontId="2" fillId="0" borderId="0" xfId="0" applyFont="1" applyFill="1" applyBorder="1">
      <alignment vertical="center"/>
    </xf>
    <xf numFmtId="0" fontId="0" fillId="0" borderId="5" xfId="0" applyFill="1" applyBorder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0" fillId="0" borderId="0" xfId="0" applyFont="1" applyFill="1" applyBorder="1">
      <alignment vertical="center"/>
    </xf>
    <xf numFmtId="0" fontId="21" fillId="0" borderId="0" xfId="0" applyFont="1" applyFill="1">
      <alignment vertical="center"/>
    </xf>
    <xf numFmtId="0" fontId="22" fillId="4" borderId="0" xfId="0" applyFont="1" applyFill="1">
      <alignment vertical="center"/>
    </xf>
    <xf numFmtId="0" fontId="23" fillId="4" borderId="0" xfId="1" applyFont="1" applyFill="1">
      <alignment vertical="center"/>
    </xf>
    <xf numFmtId="0" fontId="6" fillId="8" borderId="0" xfId="0" applyFont="1" applyFill="1">
      <alignment vertical="center"/>
    </xf>
    <xf numFmtId="0" fontId="24" fillId="0" borderId="0" xfId="0" applyFont="1">
      <alignment vertical="center"/>
    </xf>
    <xf numFmtId="0" fontId="2" fillId="9" borderId="0" xfId="0" applyFont="1" applyFill="1">
      <alignment vertical="center"/>
    </xf>
    <xf numFmtId="0" fontId="0" fillId="2" borderId="0" xfId="0" applyFill="1">
      <alignment vertical="center"/>
    </xf>
    <xf numFmtId="0" fontId="2" fillId="12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4" fillId="11" borderId="3" xfId="0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24" fillId="9" borderId="3" xfId="0" applyFont="1" applyFill="1" applyBorder="1">
      <alignment vertical="center"/>
    </xf>
    <xf numFmtId="0" fontId="0" fillId="9" borderId="3" xfId="0" applyFill="1" applyBorder="1">
      <alignment vertical="center"/>
    </xf>
    <xf numFmtId="0" fontId="25" fillId="9" borderId="3" xfId="0" applyFont="1" applyFill="1" applyBorder="1">
      <alignment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6" fillId="2" borderId="0" xfId="0" applyFont="1" applyFill="1">
      <alignment vertical="center"/>
    </xf>
    <xf numFmtId="0" fontId="2" fillId="10" borderId="14" xfId="0" applyFont="1" applyFill="1" applyBorder="1" applyAlignment="1">
      <alignment horizontal="center" vertical="center"/>
    </xf>
    <xf numFmtId="0" fontId="26" fillId="2" borderId="13" xfId="0" applyFont="1" applyFill="1" applyBorder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28" fillId="0" borderId="0" xfId="0" applyFont="1" applyFill="1" applyAlignment="1">
      <alignment horizontal="center" vertical="center"/>
    </xf>
    <xf numFmtId="0" fontId="29" fillId="0" borderId="0" xfId="0" applyFont="1" applyFill="1" applyBorder="1">
      <alignment vertical="center"/>
    </xf>
  </cellXfs>
  <cellStyles count="2">
    <cellStyle name="ハイパーリンク" xfId="1" builtinId="8"/>
    <cellStyle name="標準" xfId="0" builtinId="0"/>
  </cellStyles>
  <dxfs count="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1828800</xdr:colOff>
          <xdr:row>27</xdr:row>
          <xdr:rowOff>123825</xdr:rowOff>
        </xdr:from>
        <xdr:to>
          <xdr:col>6</xdr:col>
          <xdr:colOff>152400</xdr:colOff>
          <xdr:row>30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28</xdr:row>
          <xdr:rowOff>180975</xdr:rowOff>
        </xdr:from>
        <xdr:to>
          <xdr:col>2</xdr:col>
          <xdr:colOff>1038225</xdr:colOff>
          <xdr:row>31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219075</xdr:colOff>
          <xdr:row>20</xdr:row>
          <xdr:rowOff>285750</xdr:rowOff>
        </xdr:from>
        <xdr:to>
          <xdr:col>17</xdr:col>
          <xdr:colOff>190500</xdr:colOff>
          <xdr:row>23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mainproc7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29</xdr:row>
          <xdr:rowOff>180975</xdr:rowOff>
        </xdr:from>
        <xdr:to>
          <xdr:col>2</xdr:col>
          <xdr:colOff>1038225</xdr:colOff>
          <xdr:row>32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21</xdr:row>
          <xdr:rowOff>19050</xdr:rowOff>
        </xdr:from>
        <xdr:to>
          <xdr:col>17</xdr:col>
          <xdr:colOff>19050</xdr:colOff>
          <xdr:row>23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mainproc7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25</xdr:row>
          <xdr:rowOff>180975</xdr:rowOff>
        </xdr:from>
        <xdr:to>
          <xdr:col>2</xdr:col>
          <xdr:colOff>1038225</xdr:colOff>
          <xdr:row>28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20</xdr:row>
          <xdr:rowOff>38100</xdr:rowOff>
        </xdr:from>
        <xdr:to>
          <xdr:col>17</xdr:col>
          <xdr:colOff>409575</xdr:colOff>
          <xdr:row>22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mainproc7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26</xdr:row>
          <xdr:rowOff>180975</xdr:rowOff>
        </xdr:from>
        <xdr:to>
          <xdr:col>2</xdr:col>
          <xdr:colOff>1038225</xdr:colOff>
          <xdr:row>29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21</xdr:row>
          <xdr:rowOff>0</xdr:rowOff>
        </xdr:from>
        <xdr:to>
          <xdr:col>17</xdr:col>
          <xdr:colOff>19050</xdr:colOff>
          <xdr:row>23</xdr:row>
          <xdr:rowOff>104775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2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mainproc7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21</xdr:row>
          <xdr:rowOff>19050</xdr:rowOff>
        </xdr:from>
        <xdr:to>
          <xdr:col>17</xdr:col>
          <xdr:colOff>19050</xdr:colOff>
          <xdr:row>23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mainproc7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26</xdr:row>
          <xdr:rowOff>152400</xdr:rowOff>
        </xdr:from>
        <xdr:to>
          <xdr:col>2</xdr:col>
          <xdr:colOff>733425</xdr:colOff>
          <xdr:row>29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mainProc3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609599</xdr:colOff>
      <xdr:row>3</xdr:row>
      <xdr:rowOff>119062</xdr:rowOff>
    </xdr:from>
    <xdr:to>
      <xdr:col>10</xdr:col>
      <xdr:colOff>628649</xdr:colOff>
      <xdr:row>10</xdr:row>
      <xdr:rowOff>266700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20124" y="866775"/>
          <a:ext cx="5153025" cy="207645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メモ</a:t>
          </a:r>
          <a:endParaRPr kumimoji="1" lang="en-US" altLang="ja-JP" sz="1100"/>
        </a:p>
        <a:p>
          <a:r>
            <a:rPr kumimoji="1" lang="ja-JP" altLang="en-US" sz="1100"/>
            <a:t>本機能を確認する場合、</a:t>
          </a:r>
          <a:endParaRPr kumimoji="1" lang="en-US" altLang="ja-JP" sz="1100"/>
        </a:p>
        <a:p>
          <a:r>
            <a:rPr kumimoji="1" lang="ja-JP" altLang="en-US" sz="1100"/>
            <a:t>フォルダ「</a:t>
          </a:r>
          <a:r>
            <a:rPr kumimoji="1" lang="en-US" altLang="ja-JP" sz="1100"/>
            <a:t>JCOG1502CAC</a:t>
          </a:r>
          <a:r>
            <a:rPr kumimoji="1" lang="ja-JP" altLang="en-US" sz="1100"/>
            <a:t>」を作成します。</a:t>
          </a:r>
          <a:endParaRPr kumimoji="1" lang="en-US" altLang="ja-JP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フォルダー「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JCOG1502C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」から</a:t>
          </a:r>
          <a:endParaRPr lang="ja-JP" altLang="ja-JP">
            <a:effectLst/>
          </a:endParaRPr>
        </a:p>
        <a:p>
          <a:r>
            <a:rPr kumimoji="1" lang="ja-JP" altLang="en-US" sz="1100"/>
            <a:t>値を変えた実績報告書を入れてから</a:t>
          </a:r>
          <a:endParaRPr kumimoji="1" lang="en-US" altLang="ja-JP" sz="1100"/>
        </a:p>
        <a:p>
          <a:r>
            <a:rPr kumimoji="1" lang="ja-JP" altLang="en-US" sz="1100"/>
            <a:t>本ツールを実行してください。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 strike="dblStrike" baseline="0"/>
            <a:t>フォルダ「</a:t>
          </a:r>
          <a:r>
            <a:rPr kumimoji="1" lang="en-US" altLang="ja-JP" sz="1100" strike="dblStrike" baseline="0"/>
            <a:t>JCOG1502CHECK</a:t>
          </a:r>
          <a:r>
            <a:rPr kumimoji="1" lang="ja-JP" altLang="en-US" sz="1100" strike="dblStrike" baseline="0"/>
            <a:t>」が作成されて吹き出しのコメント入り</a:t>
          </a:r>
          <a:endParaRPr kumimoji="1" lang="en-US" altLang="ja-JP" sz="1100" strike="dblStrike" baseline="0"/>
        </a:p>
        <a:p>
          <a:r>
            <a:rPr kumimoji="1" lang="ja-JP" altLang="en-US" sz="1100" strike="dblStrike" baseline="0"/>
            <a:t>実績報告書が作成されます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22</xdr:row>
          <xdr:rowOff>95250</xdr:rowOff>
        </xdr:from>
        <xdr:to>
          <xdr:col>2</xdr:col>
          <xdr:colOff>685800</xdr:colOff>
          <xdr:row>25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1388408</xdr:colOff>
      <xdr:row>2</xdr:row>
      <xdr:rowOff>207868</xdr:rowOff>
    </xdr:from>
    <xdr:to>
      <xdr:col>11</xdr:col>
      <xdr:colOff>316005</xdr:colOff>
      <xdr:row>9</xdr:row>
      <xdr:rowOff>284628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324849" y="835397"/>
          <a:ext cx="4721038" cy="2060202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メモ</a:t>
          </a:r>
          <a:endParaRPr kumimoji="1" lang="en-US" altLang="ja-JP" sz="1100"/>
        </a:p>
        <a:p>
          <a:r>
            <a:rPr kumimoji="1" lang="ja-JP" altLang="en-US" sz="1100"/>
            <a:t>本機能を確認する場合、</a:t>
          </a:r>
          <a:endParaRPr kumimoji="1" lang="en-US" altLang="ja-JP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フォルダー「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JCOG1502C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フォルダー毎コピーして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/>
            <a:t>フォルダー「</a:t>
          </a:r>
          <a:r>
            <a:rPr kumimoji="1" lang="en-US" altLang="ja-JP" sz="1100"/>
            <a:t>JCOG1502CAC2</a:t>
          </a:r>
          <a:r>
            <a:rPr kumimoji="1" lang="ja-JP" altLang="en-US" sz="1100"/>
            <a:t>」名前を変えてツールを実行して下さい。</a:t>
          </a:r>
          <a:endParaRPr kumimoji="1" lang="en-US" altLang="ja-JP" sz="1100"/>
        </a:p>
        <a:p>
          <a:r>
            <a:rPr kumimoji="1" lang="ja-JP" altLang="en-US" sz="1100"/>
            <a:t>フォルダ「</a:t>
          </a:r>
          <a:r>
            <a:rPr kumimoji="1" lang="en-US" altLang="ja-JP" sz="1100"/>
            <a:t>JCOG1502CUP</a:t>
          </a:r>
          <a:r>
            <a:rPr kumimoji="1" lang="ja-JP" altLang="en-US" sz="1100"/>
            <a:t>」が作成されて</a:t>
          </a:r>
          <a:endParaRPr kumimoji="1" lang="en-US" altLang="ja-JP" sz="1100"/>
        </a:p>
        <a:p>
          <a:r>
            <a:rPr kumimoji="1" lang="ja-JP" altLang="en-US" sz="1100"/>
            <a:t>コード番号が更新されたファイルが入ります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21</xdr:row>
          <xdr:rowOff>104775</xdr:rowOff>
        </xdr:from>
        <xdr:to>
          <xdr:col>17</xdr:col>
          <xdr:colOff>285750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13</xdr:row>
          <xdr:rowOff>57150</xdr:rowOff>
        </xdr:from>
        <xdr:to>
          <xdr:col>8</xdr:col>
          <xdr:colOff>790575</xdr:colOff>
          <xdr:row>15</xdr:row>
          <xdr:rowOff>123825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mainProc8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942975</xdr:colOff>
      <xdr:row>13</xdr:row>
      <xdr:rowOff>47625</xdr:rowOff>
    </xdr:from>
    <xdr:to>
      <xdr:col>9</xdr:col>
      <xdr:colOff>1504950</xdr:colOff>
      <xdr:row>15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4316075" y="3971925"/>
          <a:ext cx="2857500" cy="581025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rgbClr val="FF0000"/>
              </a:solidFill>
            </a:rPr>
            <a:t>終了後</a:t>
          </a:r>
          <a:r>
            <a:rPr kumimoji="1" lang="ja-JP" altLang="en-US" sz="1100"/>
            <a:t>、</a:t>
          </a:r>
          <a:r>
            <a:rPr kumimoji="1" lang="en-US" altLang="ja-JP" sz="1100"/>
            <a:t>Word</a:t>
          </a:r>
          <a:r>
            <a:rPr kumimoji="1" lang="ja-JP" altLang="en-US" sz="1100"/>
            <a:t>が立ち上がっておりますので、手動で、終了させて下さい。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172.31.2.41\jcogdata\monthly_report\work\REGIST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hyperlink" Target="../../../../ryuji/AppData/Roaming/Microsoft/Excel/JCOG1502CMailTmp" TargetMode="Externa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8"/>
  <sheetViews>
    <sheetView workbookViewId="0">
      <selection activeCell="B8" sqref="B8"/>
    </sheetView>
  </sheetViews>
  <sheetFormatPr defaultRowHeight="19.5" x14ac:dyDescent="0.4"/>
  <cols>
    <col min="1" max="1" width="33" style="64" bestFit="1" customWidth="1"/>
    <col min="2" max="2" width="35.75" customWidth="1"/>
    <col min="3" max="3" width="74.25" bestFit="1" customWidth="1"/>
  </cols>
  <sheetData>
    <row r="1" spans="1:3" x14ac:dyDescent="0.4">
      <c r="A1" s="69" t="s">
        <v>226</v>
      </c>
      <c r="B1" s="70" t="s">
        <v>230</v>
      </c>
      <c r="C1" s="70" t="s">
        <v>227</v>
      </c>
    </row>
    <row r="2" spans="1:3" x14ac:dyDescent="0.4">
      <c r="A2" s="71" t="s">
        <v>222</v>
      </c>
      <c r="B2" s="72" t="s">
        <v>243</v>
      </c>
      <c r="C2" s="30" t="s">
        <v>233</v>
      </c>
    </row>
    <row r="3" spans="1:3" x14ac:dyDescent="0.4">
      <c r="A3" s="73" t="s">
        <v>223</v>
      </c>
      <c r="B3" s="72" t="s">
        <v>244</v>
      </c>
      <c r="C3" s="30" t="s">
        <v>232</v>
      </c>
    </row>
    <row r="4" spans="1:3" x14ac:dyDescent="0.4">
      <c r="A4" s="73" t="s">
        <v>20</v>
      </c>
      <c r="B4" s="72" t="s">
        <v>234</v>
      </c>
      <c r="C4" s="30" t="s">
        <v>231</v>
      </c>
    </row>
    <row r="5" spans="1:3" x14ac:dyDescent="0.4">
      <c r="A5" s="73" t="s">
        <v>22</v>
      </c>
      <c r="B5" s="72" t="s">
        <v>235</v>
      </c>
      <c r="C5" s="30" t="s">
        <v>228</v>
      </c>
    </row>
    <row r="6" spans="1:3" x14ac:dyDescent="0.4">
      <c r="A6" s="73" t="s">
        <v>25</v>
      </c>
      <c r="B6" s="72" t="str">
        <f>B2</f>
        <v>JCOG1503C</v>
      </c>
      <c r="C6" s="30" t="s">
        <v>236</v>
      </c>
    </row>
    <row r="7" spans="1:3" x14ac:dyDescent="0.4">
      <c r="A7" s="73" t="s">
        <v>54</v>
      </c>
      <c r="B7" s="72" t="s">
        <v>53</v>
      </c>
      <c r="C7" s="30" t="s">
        <v>229</v>
      </c>
    </row>
    <row r="8" spans="1:3" x14ac:dyDescent="0.4">
      <c r="A8" s="71" t="s">
        <v>224</v>
      </c>
      <c r="B8" s="72" t="s">
        <v>237</v>
      </c>
      <c r="C8" s="30" t="s">
        <v>44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N25"/>
  <sheetViews>
    <sheetView tabSelected="1" workbookViewId="0">
      <selection activeCell="C17" sqref="C17"/>
    </sheetView>
  </sheetViews>
  <sheetFormatPr defaultColWidth="8.875" defaultRowHeight="18.75" x14ac:dyDescent="0.4"/>
  <cols>
    <col min="2" max="2" width="50.875" customWidth="1"/>
    <col min="3" max="3" width="32.375" customWidth="1"/>
    <col min="5" max="5" width="5.75" customWidth="1"/>
    <col min="6" max="6" width="31.875" customWidth="1"/>
    <col min="11" max="11" width="43.125" customWidth="1"/>
    <col min="12" max="12" width="22.25" customWidth="1"/>
  </cols>
  <sheetData>
    <row r="1" spans="2:14" ht="19.5" thickBot="1" x14ac:dyDescent="0.45">
      <c r="F1" t="s">
        <v>107</v>
      </c>
      <c r="M1" s="25"/>
    </row>
    <row r="2" spans="2:14" s="1" customFormat="1" ht="24" x14ac:dyDescent="0.4">
      <c r="B2" s="86" t="s">
        <v>14</v>
      </c>
      <c r="C2" s="86" t="s">
        <v>38</v>
      </c>
      <c r="D2" s="86"/>
      <c r="E2" s="86"/>
      <c r="F2" s="86"/>
      <c r="K2" s="1" t="s">
        <v>89</v>
      </c>
      <c r="L2" s="17" t="s">
        <v>252</v>
      </c>
    </row>
    <row r="3" spans="2:14" s="1" customFormat="1" ht="19.350000000000001" customHeight="1" x14ac:dyDescent="0.4">
      <c r="B3" s="87" t="s">
        <v>26</v>
      </c>
      <c r="C3" s="86"/>
      <c r="D3" s="86"/>
      <c r="E3" s="86"/>
      <c r="F3" s="86"/>
      <c r="K3" s="1" t="s">
        <v>91</v>
      </c>
      <c r="L3" s="23" t="s">
        <v>94</v>
      </c>
    </row>
    <row r="4" spans="2:14" s="1" customFormat="1" ht="19.350000000000001" customHeight="1" x14ac:dyDescent="0.4">
      <c r="B4"/>
      <c r="E4" s="5"/>
      <c r="K4" s="1" t="s">
        <v>90</v>
      </c>
      <c r="L4" s="3" t="s">
        <v>243</v>
      </c>
    </row>
    <row r="5" spans="2:14" s="1" customFormat="1" ht="24" x14ac:dyDescent="0.4">
      <c r="B5" s="65" t="s">
        <v>92</v>
      </c>
      <c r="C5" s="65" t="str">
        <f>共通項目更新シート!B3</f>
        <v>JCOG1503C_定期報告進捗リスト.xlsx</v>
      </c>
      <c r="D5" s="65"/>
      <c r="E5" s="5"/>
      <c r="K5" s="1" t="s">
        <v>95</v>
      </c>
      <c r="L5" s="3" t="s">
        <v>53</v>
      </c>
    </row>
    <row r="6" spans="2:14" s="1" customFormat="1" ht="24" x14ac:dyDescent="0.4">
      <c r="B6" t="s">
        <v>19</v>
      </c>
      <c r="E6" s="5"/>
      <c r="K6" s="1" t="s">
        <v>96</v>
      </c>
      <c r="L6" s="3" t="s">
        <v>246</v>
      </c>
    </row>
    <row r="7" spans="2:14" s="1" customFormat="1" ht="24" x14ac:dyDescent="0.4">
      <c r="B7" s="1" t="s">
        <v>20</v>
      </c>
      <c r="C7" s="65" t="str">
        <f>共通項目更新シート!B4</f>
        <v>1503C</v>
      </c>
      <c r="D7" s="65"/>
      <c r="E7" s="5"/>
    </row>
    <row r="8" spans="2:14" s="1" customFormat="1" ht="24" x14ac:dyDescent="0.4">
      <c r="E8" s="5"/>
      <c r="J8" s="1">
        <v>1</v>
      </c>
      <c r="K8" s="1" t="s">
        <v>98</v>
      </c>
      <c r="L8" s="3" t="s">
        <v>101</v>
      </c>
    </row>
    <row r="9" spans="2:14" s="1" customFormat="1" ht="24" x14ac:dyDescent="0.4">
      <c r="B9" s="1" t="s">
        <v>44</v>
      </c>
      <c r="C9" s="65" t="str">
        <f>共通項目更新シート!B8</f>
        <v>AQ</v>
      </c>
      <c r="D9" s="65"/>
      <c r="E9" s="5"/>
    </row>
    <row r="10" spans="2:14" s="1" customFormat="1" ht="24" x14ac:dyDescent="0.4">
      <c r="B10" s="86" t="s">
        <v>93</v>
      </c>
      <c r="C10" s="86">
        <v>2</v>
      </c>
      <c r="D10" s="86"/>
      <c r="E10" s="86"/>
      <c r="F10" s="86"/>
      <c r="K10" s="1" t="s">
        <v>97</v>
      </c>
      <c r="N10" s="1" t="s">
        <v>163</v>
      </c>
    </row>
    <row r="11" spans="2:14" s="1" customFormat="1" ht="26.65" customHeight="1" x14ac:dyDescent="0.4">
      <c r="B11" s="86" t="s">
        <v>16</v>
      </c>
      <c r="C11" s="86" t="s">
        <v>21</v>
      </c>
      <c r="D11" s="86"/>
      <c r="E11" s="86"/>
      <c r="F11" s="86"/>
      <c r="J11" s="1">
        <v>2</v>
      </c>
      <c r="K11" s="3" t="s">
        <v>100</v>
      </c>
      <c r="L11" s="1" t="s">
        <v>101</v>
      </c>
    </row>
    <row r="12" spans="2:14" s="1" customFormat="1" ht="24" x14ac:dyDescent="0.4">
      <c r="B12" s="5"/>
      <c r="C12" s="5"/>
      <c r="D12" s="5"/>
      <c r="E12" s="5"/>
      <c r="F12" s="5"/>
      <c r="J12" s="1">
        <v>3</v>
      </c>
      <c r="K12" s="3" t="s">
        <v>245</v>
      </c>
      <c r="L12" s="1" t="s">
        <v>247</v>
      </c>
      <c r="N12" s="1" t="s">
        <v>162</v>
      </c>
    </row>
    <row r="13" spans="2:14" s="1" customFormat="1" ht="24" x14ac:dyDescent="0.4">
      <c r="B13" s="65" t="s">
        <v>22</v>
      </c>
      <c r="C13" s="65" t="str">
        <f>共通項目更新シート!B5</f>
        <v>CE</v>
      </c>
      <c r="D13" s="65"/>
      <c r="E13" s="5"/>
      <c r="J13" s="1">
        <v>4</v>
      </c>
      <c r="K13" s="3" t="s">
        <v>253</v>
      </c>
      <c r="L13" s="1" t="s">
        <v>254</v>
      </c>
      <c r="N13" s="1" t="s">
        <v>164</v>
      </c>
    </row>
    <row r="14" spans="2:14" s="1" customFormat="1" ht="24" x14ac:dyDescent="0.4">
      <c r="B14" s="1" t="s">
        <v>25</v>
      </c>
      <c r="C14" s="65" t="str">
        <f>共通項目更新シート!B6</f>
        <v>JCOG1503C</v>
      </c>
      <c r="D14" s="65"/>
      <c r="E14" s="5"/>
      <c r="J14" s="1">
        <v>5</v>
      </c>
      <c r="K14" s="3"/>
      <c r="N14" s="1" t="s">
        <v>166</v>
      </c>
    </row>
    <row r="15" spans="2:14" s="1" customFormat="1" ht="24" x14ac:dyDescent="0.4">
      <c r="B15" s="1" t="s">
        <v>54</v>
      </c>
      <c r="C15" s="65" t="str">
        <f>共通項目更新シート!B7</f>
        <v>D</v>
      </c>
      <c r="D15" s="65"/>
      <c r="J15" s="1">
        <v>6</v>
      </c>
      <c r="K15" s="3"/>
      <c r="N15" s="1" t="s">
        <v>167</v>
      </c>
    </row>
    <row r="16" spans="2:14" s="1" customFormat="1" ht="37.5" customHeight="1" x14ac:dyDescent="0.4">
      <c r="B16" s="1" t="s">
        <v>248</v>
      </c>
      <c r="J16" s="1">
        <v>7</v>
      </c>
      <c r="K16" s="3"/>
      <c r="L16" s="24"/>
    </row>
    <row r="17" spans="2:11" s="1" customFormat="1" ht="24" x14ac:dyDescent="0.4">
      <c r="B17" s="86" t="s">
        <v>18</v>
      </c>
      <c r="C17" s="86"/>
      <c r="D17" s="86"/>
      <c r="E17" s="86"/>
      <c r="F17" s="86"/>
      <c r="G17" s="86"/>
      <c r="J17" s="1">
        <v>8</v>
      </c>
      <c r="K17" s="3"/>
    </row>
    <row r="18" spans="2:11" s="1" customFormat="1" ht="24" x14ac:dyDescent="0.4">
      <c r="B18" s="86"/>
      <c r="C18" s="86" t="s">
        <v>0</v>
      </c>
      <c r="D18" s="88" t="s">
        <v>2</v>
      </c>
      <c r="E18" s="88"/>
      <c r="F18" s="86" t="s">
        <v>5</v>
      </c>
      <c r="G18" s="88" t="s">
        <v>6</v>
      </c>
      <c r="J18" s="1">
        <v>9</v>
      </c>
      <c r="K18" s="3"/>
    </row>
    <row r="19" spans="2:11" s="1" customFormat="1" ht="24" x14ac:dyDescent="0.4">
      <c r="B19" s="86">
        <v>1</v>
      </c>
      <c r="C19" s="86" t="s">
        <v>1</v>
      </c>
      <c r="D19" s="88" t="s">
        <v>40</v>
      </c>
      <c r="E19" s="88" t="s">
        <v>15</v>
      </c>
      <c r="F19" s="86" t="s">
        <v>7</v>
      </c>
      <c r="G19" s="88" t="s">
        <v>8</v>
      </c>
      <c r="J19" s="1">
        <v>10</v>
      </c>
      <c r="K19" s="3"/>
    </row>
    <row r="20" spans="2:11" s="1" customFormat="1" ht="24" x14ac:dyDescent="0.4">
      <c r="B20" s="86">
        <v>2</v>
      </c>
      <c r="C20" s="86" t="s">
        <v>9</v>
      </c>
      <c r="D20" s="88" t="s">
        <v>42</v>
      </c>
      <c r="E20" s="88" t="s">
        <v>15</v>
      </c>
      <c r="F20" s="86" t="s">
        <v>9</v>
      </c>
      <c r="G20" s="88" t="s">
        <v>11</v>
      </c>
      <c r="J20" s="1">
        <v>11</v>
      </c>
      <c r="K20" s="3"/>
    </row>
    <row r="21" spans="2:11" s="1" customFormat="1" ht="24" x14ac:dyDescent="0.4">
      <c r="B21" s="86">
        <v>3</v>
      </c>
      <c r="C21" s="86" t="s">
        <v>3</v>
      </c>
      <c r="D21" s="88" t="s">
        <v>43</v>
      </c>
      <c r="E21" s="88" t="s">
        <v>15</v>
      </c>
      <c r="F21" s="86" t="s">
        <v>3</v>
      </c>
      <c r="G21" s="88" t="s">
        <v>10</v>
      </c>
      <c r="J21" s="1">
        <v>12</v>
      </c>
      <c r="K21" s="3"/>
    </row>
    <row r="22" spans="2:11" s="1" customFormat="1" ht="24" x14ac:dyDescent="0.4">
      <c r="B22" s="86">
        <v>4</v>
      </c>
      <c r="C22" s="86" t="s">
        <v>4</v>
      </c>
      <c r="D22" s="88" t="s">
        <v>45</v>
      </c>
      <c r="E22" s="88" t="s">
        <v>15</v>
      </c>
      <c r="F22" s="86" t="s">
        <v>12</v>
      </c>
      <c r="G22" s="88" t="s">
        <v>13</v>
      </c>
      <c r="J22" s="1">
        <v>15</v>
      </c>
      <c r="K22" s="3"/>
    </row>
    <row r="23" spans="2:11" s="1" customFormat="1" ht="24" x14ac:dyDescent="0.4">
      <c r="B23" s="86">
        <v>5</v>
      </c>
      <c r="C23" s="86" t="s">
        <v>23</v>
      </c>
      <c r="D23" s="88" t="s">
        <v>41</v>
      </c>
      <c r="E23" s="88" t="s">
        <v>15</v>
      </c>
      <c r="F23" s="86" t="s">
        <v>35</v>
      </c>
      <c r="G23" s="88" t="s">
        <v>24</v>
      </c>
    </row>
    <row r="24" spans="2:11" ht="24" x14ac:dyDescent="0.4">
      <c r="B24" s="87"/>
      <c r="C24" s="86" t="s">
        <v>32</v>
      </c>
      <c r="D24" s="88" t="s">
        <v>40</v>
      </c>
      <c r="E24" s="89"/>
      <c r="F24" s="89"/>
      <c r="G24" s="89"/>
      <c r="K24" s="1"/>
    </row>
    <row r="25" spans="2:11" ht="24" x14ac:dyDescent="0.4">
      <c r="B25" s="87"/>
      <c r="C25" s="86" t="s">
        <v>34</v>
      </c>
      <c r="D25" s="87"/>
      <c r="E25" s="87"/>
      <c r="F25" s="87"/>
      <c r="G25" s="87"/>
      <c r="K25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inProc6.mainProc6">
                <anchor moveWithCells="1" sizeWithCells="1">
                  <from>
                    <xdr:col>2</xdr:col>
                    <xdr:colOff>1828800</xdr:colOff>
                    <xdr:row>27</xdr:row>
                    <xdr:rowOff>123825</xdr:rowOff>
                  </from>
                  <to>
                    <xdr:col>6</xdr:col>
                    <xdr:colOff>152400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W26"/>
  <sheetViews>
    <sheetView workbookViewId="0">
      <selection activeCell="Q19" sqref="Q19"/>
    </sheetView>
  </sheetViews>
  <sheetFormatPr defaultColWidth="8.875" defaultRowHeight="18.75" x14ac:dyDescent="0.4"/>
  <cols>
    <col min="2" max="2" width="33.625" customWidth="1"/>
    <col min="3" max="3" width="32.375" customWidth="1"/>
    <col min="5" max="5" width="5.75" customWidth="1"/>
    <col min="6" max="6" width="18.375" customWidth="1"/>
    <col min="7" max="7" width="21.625" customWidth="1"/>
    <col min="8" max="8" width="21.375" customWidth="1"/>
    <col min="9" max="9" width="12.75" customWidth="1"/>
    <col min="10" max="10" width="11.375" bestFit="1" customWidth="1"/>
    <col min="12" max="12" width="11.375" bestFit="1" customWidth="1"/>
    <col min="13" max="13" width="31.875" bestFit="1" customWidth="1"/>
    <col min="15" max="15" width="29" customWidth="1"/>
    <col min="16" max="16" width="2.25" customWidth="1"/>
    <col min="19" max="19" width="22.75" customWidth="1"/>
    <col min="20" max="20" width="2.25" customWidth="1"/>
  </cols>
  <sheetData>
    <row r="1" spans="2:12" ht="24" x14ac:dyDescent="0.4">
      <c r="B1" s="1" t="s">
        <v>56</v>
      </c>
      <c r="F1" t="s">
        <v>55</v>
      </c>
    </row>
    <row r="2" spans="2:12" s="1" customFormat="1" ht="24" x14ac:dyDescent="0.4">
      <c r="B2" s="6" t="s">
        <v>105</v>
      </c>
      <c r="C2" s="65" t="str">
        <f>共通項目更新シート!B2&amp;"_登録状況一覧"</f>
        <v>JCOG1503C_登録状況一覧</v>
      </c>
      <c r="D2" s="65"/>
      <c r="E2" s="5"/>
      <c r="G2" s="1" t="s">
        <v>78</v>
      </c>
      <c r="H2" s="40"/>
    </row>
    <row r="3" spans="2:12" s="1" customFormat="1" ht="19.350000000000001" customHeight="1" x14ac:dyDescent="0.4">
      <c r="B3" t="s">
        <v>81</v>
      </c>
      <c r="E3" s="5"/>
      <c r="G3" s="17" t="s">
        <v>249</v>
      </c>
      <c r="H3" s="5"/>
      <c r="I3" s="5"/>
      <c r="J3" s="5"/>
      <c r="K3" s="5"/>
      <c r="L3" s="5"/>
    </row>
    <row r="4" spans="2:12" s="1" customFormat="1" ht="24.75" customHeight="1" x14ac:dyDescent="0.4">
      <c r="B4" s="20" t="s">
        <v>82</v>
      </c>
      <c r="E4" s="5"/>
      <c r="G4" s="1" t="s">
        <v>77</v>
      </c>
      <c r="H4" s="1" t="s">
        <v>88</v>
      </c>
    </row>
    <row r="5" spans="2:12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  <c r="G5" s="1" t="s">
        <v>71</v>
      </c>
      <c r="H5" s="3" t="s">
        <v>73</v>
      </c>
    </row>
    <row r="6" spans="2:12" s="1" customFormat="1" ht="24" x14ac:dyDescent="0.4">
      <c r="B6" t="s">
        <v>19</v>
      </c>
      <c r="E6" s="5"/>
    </row>
    <row r="7" spans="2:12" s="1" customFormat="1" ht="24" x14ac:dyDescent="0.4">
      <c r="B7" s="1" t="s">
        <v>20</v>
      </c>
      <c r="C7" s="65" t="str">
        <f>共通項目更新シート!B4</f>
        <v>1503C</v>
      </c>
      <c r="D7" s="65"/>
      <c r="E7" s="5"/>
      <c r="G7" s="1" t="s">
        <v>59</v>
      </c>
      <c r="J7" s="1" t="s">
        <v>75</v>
      </c>
    </row>
    <row r="8" spans="2:12" s="1" customFormat="1" ht="24" x14ac:dyDescent="0.4">
      <c r="E8" s="5"/>
      <c r="G8" s="1" t="s">
        <v>58</v>
      </c>
      <c r="H8" s="1" t="s">
        <v>61</v>
      </c>
      <c r="I8" s="3" t="str">
        <f>共通項目更新シート!B2</f>
        <v>JCOG1503C</v>
      </c>
      <c r="J8" s="1" t="str">
        <f>H8&amp;"'"&amp;I8&amp;"'"</f>
        <v>PRTNAME='JCOG1503C'</v>
      </c>
    </row>
    <row r="9" spans="2:12" s="1" customFormat="1" ht="24" x14ac:dyDescent="0.4">
      <c r="B9" s="1" t="s">
        <v>44</v>
      </c>
      <c r="C9" s="65" t="str">
        <f>共通項目更新シート!B8</f>
        <v>AQ</v>
      </c>
      <c r="D9" s="65"/>
      <c r="E9" s="5"/>
      <c r="G9" s="1" t="s">
        <v>171</v>
      </c>
      <c r="H9" s="1" t="s">
        <v>172</v>
      </c>
      <c r="I9" s="18">
        <v>42186</v>
      </c>
      <c r="J9" s="1" t="str">
        <f>H9&amp;"#"&amp;TEXT(I9,"YYYY/MM/DD")&amp;"#"</f>
        <v>TOUROKUBI&gt;=#2015/07/01#</v>
      </c>
    </row>
    <row r="10" spans="2:12" s="1" customFormat="1" ht="24" x14ac:dyDescent="0.4">
      <c r="B10" s="5" t="s">
        <v>99</v>
      </c>
      <c r="C10" s="5">
        <f>実績報告書確認!C10+1</f>
        <v>5</v>
      </c>
      <c r="D10" s="5"/>
      <c r="E10" s="5"/>
      <c r="G10" s="1" t="s">
        <v>173</v>
      </c>
      <c r="H10" s="1" t="s">
        <v>174</v>
      </c>
      <c r="I10" s="46">
        <v>43981</v>
      </c>
      <c r="J10" s="1" t="str">
        <f>H10&amp;"#"&amp;TEXT(I10,"YYYY/MM/DD")&amp;"#"</f>
        <v>TOUROKUBI&lt;=#2020/05/30#</v>
      </c>
    </row>
    <row r="11" spans="2:12" s="1" customFormat="1" ht="26.65" customHeight="1" x14ac:dyDescent="0.4">
      <c r="B11" s="1" t="s">
        <v>79</v>
      </c>
      <c r="C11" s="3" t="s">
        <v>250</v>
      </c>
      <c r="D11" s="3"/>
      <c r="E11" s="5"/>
      <c r="G11" s="1" t="s">
        <v>69</v>
      </c>
      <c r="H11" s="1" t="s">
        <v>72</v>
      </c>
      <c r="I11" s="21">
        <v>0</v>
      </c>
      <c r="J11" s="1" t="str">
        <f>H11&amp;I11</f>
        <v>ARMID=0</v>
      </c>
    </row>
    <row r="12" spans="2:12" s="1" customFormat="1" ht="24" x14ac:dyDescent="0.4">
      <c r="E12" s="5"/>
    </row>
    <row r="13" spans="2:12" s="1" customFormat="1" ht="24" x14ac:dyDescent="0.4">
      <c r="B13" s="1" t="s">
        <v>22</v>
      </c>
      <c r="C13" s="65" t="str">
        <f>共通項目更新シート!B5</f>
        <v>CE</v>
      </c>
      <c r="D13" s="65"/>
      <c r="E13" s="5"/>
      <c r="G13" s="1" t="s">
        <v>84</v>
      </c>
      <c r="I13" s="3" t="s">
        <v>85</v>
      </c>
    </row>
    <row r="14" spans="2:12" s="1" customFormat="1" ht="24" x14ac:dyDescent="0.4">
      <c r="B14" s="1" t="s">
        <v>25</v>
      </c>
      <c r="C14" s="65" t="str">
        <f>共通項目更新シート!B6</f>
        <v>JCOG1503C</v>
      </c>
      <c r="D14" s="65"/>
      <c r="E14" s="5"/>
    </row>
    <row r="15" spans="2:12" s="1" customFormat="1" ht="24" x14ac:dyDescent="0.4">
      <c r="B15" s="65" t="s">
        <v>54</v>
      </c>
      <c r="C15" s="65" t="str">
        <f>共通項目更新シート!B7</f>
        <v>D</v>
      </c>
      <c r="D15" s="65"/>
    </row>
    <row r="16" spans="2:12" s="1" customFormat="1" ht="24" x14ac:dyDescent="0.4">
      <c r="B16" s="1" t="s">
        <v>57</v>
      </c>
    </row>
    <row r="17" spans="2:23" s="1" customFormat="1" ht="24" x14ac:dyDescent="0.4"/>
    <row r="18" spans="2:23" s="1" customFormat="1" ht="24" x14ac:dyDescent="0.4">
      <c r="B18" s="1" t="s">
        <v>80</v>
      </c>
      <c r="G18" s="1" t="s">
        <v>74</v>
      </c>
      <c r="H18" s="2"/>
      <c r="I18" s="1" t="s">
        <v>76</v>
      </c>
      <c r="O18" s="1" t="s">
        <v>159</v>
      </c>
      <c r="V18"/>
      <c r="W18"/>
    </row>
    <row r="19" spans="2:23" s="1" customFormat="1" ht="24" x14ac:dyDescent="0.4">
      <c r="C19" s="1" t="s">
        <v>0</v>
      </c>
      <c r="D19" s="2" t="s">
        <v>2</v>
      </c>
      <c r="E19" s="2"/>
      <c r="G19" s="1" t="s">
        <v>63</v>
      </c>
      <c r="H19" s="16" t="s">
        <v>1</v>
      </c>
      <c r="I19" s="1" t="str">
        <f>H19</f>
        <v>ONAME</v>
      </c>
      <c r="O19" s="1" t="s">
        <v>100</v>
      </c>
      <c r="P19" s="3"/>
      <c r="Q19" s="3" t="str">
        <f>VLOOKUP($O$19,業務フォルダー作成!$K$11:$L$22,2,FALSE)</f>
        <v>BT</v>
      </c>
      <c r="S19" s="1" t="s">
        <v>160</v>
      </c>
      <c r="U19" s="3"/>
      <c r="V19" s="56" t="str">
        <f>"←確認！進捗リストの「ファイル名」の行のデータが拡張子付きの場合は、ブランクにする"</f>
        <v>←確認！進捗リストの「ファイル名」の行のデータが拡張子付きの場合は、ブランクにする</v>
      </c>
      <c r="W19"/>
    </row>
    <row r="20" spans="2:23" s="1" customFormat="1" ht="24" x14ac:dyDescent="0.4">
      <c r="B20" s="1">
        <v>1</v>
      </c>
      <c r="C20" s="65" t="s">
        <v>62</v>
      </c>
      <c r="D20" s="68" t="str">
        <f>C15</f>
        <v>D</v>
      </c>
      <c r="E20" s="11"/>
      <c r="G20" s="1" t="s">
        <v>64</v>
      </c>
      <c r="H20" s="16" t="s">
        <v>65</v>
      </c>
      <c r="I20" s="1" t="str">
        <f>H20</f>
        <v>TOUROKUDRFULLNAME</v>
      </c>
    </row>
    <row r="21" spans="2:23" s="1" customFormat="1" ht="24" x14ac:dyDescent="0.4">
      <c r="B21" s="1">
        <v>2</v>
      </c>
      <c r="C21" s="6" t="s">
        <v>32</v>
      </c>
      <c r="D21" s="4" t="s">
        <v>251</v>
      </c>
      <c r="E21" s="11"/>
      <c r="G21" s="1" t="s">
        <v>66</v>
      </c>
      <c r="H21" s="16" t="s">
        <v>67</v>
      </c>
      <c r="I21" s="1" t="str">
        <f>H21</f>
        <v>PATID</v>
      </c>
    </row>
    <row r="22" spans="2:23" s="1" customFormat="1" ht="24" x14ac:dyDescent="0.4">
      <c r="C22" s="6" t="s">
        <v>86</v>
      </c>
      <c r="D22" s="4" t="s">
        <v>39</v>
      </c>
      <c r="E22" s="11"/>
      <c r="G22" s="1" t="s">
        <v>68</v>
      </c>
      <c r="H22" s="3" t="s">
        <v>60</v>
      </c>
      <c r="I22" s="1" t="str">
        <f>"FORMAT(" &amp;H22&amp;",""yyyy/mm/dd"") as " &amp; H22 &amp;"w"</f>
        <v>FORMAT(TOUROKUBI,"yyyy/mm/dd") as TOUROKUBIw</v>
      </c>
    </row>
    <row r="23" spans="2:23" s="1" customFormat="1" ht="24" x14ac:dyDescent="0.4">
      <c r="C23" s="1" t="s">
        <v>83</v>
      </c>
      <c r="D23" s="19"/>
      <c r="E23" s="11"/>
      <c r="G23" s="1" t="s">
        <v>69</v>
      </c>
      <c r="H23" s="16" t="s">
        <v>70</v>
      </c>
      <c r="I23" s="1" t="str">
        <f>"SWITCH(" &amp; H23 &amp; "=1,""A""," &amp; H23 &amp; "=2,""B""," &amp;H23 &amp; "=3,""C""," &amp; H23 &amp; "=0,""盲検"") as " &amp; H23 &amp; "w"</f>
        <v>SWITCH(ARMID=1,"A",ARMID=2,"B",ARMID=3,"C",ARMID=0,"盲検") as ARMIDw</v>
      </c>
    </row>
    <row r="24" spans="2:23" s="1" customFormat="1" ht="24" x14ac:dyDescent="0.4">
      <c r="B24"/>
      <c r="C24" s="1" t="s">
        <v>33</v>
      </c>
      <c r="D24" s="19"/>
      <c r="E24" s="11"/>
    </row>
    <row r="25" spans="2:23" ht="24" x14ac:dyDescent="0.4">
      <c r="C25" s="1" t="s">
        <v>30</v>
      </c>
    </row>
    <row r="26" spans="2:23" ht="24" x14ac:dyDescent="0.4">
      <c r="C26" s="59" t="s">
        <v>214</v>
      </c>
    </row>
  </sheetData>
  <phoneticPr fontId="1"/>
  <hyperlinks>
    <hyperlink ref="G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inProc5.mainProc5">
                <anchor moveWithCells="1" sizeWithCells="1">
                  <from>
                    <xdr:col>1</xdr:col>
                    <xdr:colOff>581025</xdr:colOff>
                    <xdr:row>28</xdr:row>
                    <xdr:rowOff>180975</xdr:rowOff>
                  </from>
                  <to>
                    <xdr:col>2</xdr:col>
                    <xdr:colOff>1038225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mainProc7.mainProc7">
                <anchor moveWithCells="1" sizeWithCells="1">
                  <from>
                    <xdr:col>14</xdr:col>
                    <xdr:colOff>219075</xdr:colOff>
                    <xdr:row>20</xdr:row>
                    <xdr:rowOff>285750</xdr:rowOff>
                  </from>
                  <to>
                    <xdr:col>17</xdr:col>
                    <xdr:colOff>190500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業務フォルダー作成!$K$11:$K$22</xm:f>
          </x14:formula1>
          <xm:sqref>O19</xm:sqref>
        </x14:dataValidation>
        <x14:dataValidation type="list" allowBlank="1" showInputMessage="1" showErrorMessage="1">
          <x14:formula1>
            <xm:f>業務フォルダー作成!$N$11:$N$15</xm:f>
          </x14:formula1>
          <xm:sqref>U19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26"/>
  <sheetViews>
    <sheetView workbookViewId="0">
      <selection activeCell="C12" sqref="C12"/>
    </sheetView>
  </sheetViews>
  <sheetFormatPr defaultColWidth="8.875" defaultRowHeight="18.75" x14ac:dyDescent="0.4"/>
  <cols>
    <col min="2" max="2" width="33.625" customWidth="1"/>
    <col min="3" max="3" width="32.375" customWidth="1"/>
    <col min="5" max="5" width="5.75" customWidth="1"/>
    <col min="6" max="6" width="31.875" customWidth="1"/>
    <col min="11" max="13" width="3.5" style="26" customWidth="1"/>
    <col min="14" max="14" width="3.5" customWidth="1"/>
    <col min="15" max="15" width="29" customWidth="1"/>
    <col min="16" max="16" width="2.25" customWidth="1"/>
    <col min="19" max="19" width="22.75" customWidth="1"/>
    <col min="20" max="20" width="2.25" customWidth="1"/>
  </cols>
  <sheetData>
    <row r="1" spans="2:13" ht="24.75" thickBot="1" x14ac:dyDescent="0.45">
      <c r="B1" s="1" t="s">
        <v>104</v>
      </c>
      <c r="F1" t="s">
        <v>55</v>
      </c>
    </row>
    <row r="2" spans="2:13" s="1" customFormat="1" ht="24.75" thickBot="1" x14ac:dyDescent="0.45">
      <c r="B2" s="27" t="s">
        <v>105</v>
      </c>
      <c r="C2" s="3" t="str">
        <f>共通項目更新シート!B2&amp;"_実績報告書"</f>
        <v>JCOG1503C_実績報告書</v>
      </c>
      <c r="D2" s="3"/>
      <c r="E2" s="5"/>
      <c r="K2" s="5"/>
      <c r="L2" s="5"/>
      <c r="M2" s="5"/>
    </row>
    <row r="3" spans="2:13" s="1" customFormat="1" ht="19.350000000000001" customHeight="1" x14ac:dyDescent="0.4">
      <c r="B3" t="s">
        <v>26</v>
      </c>
      <c r="E3" s="5"/>
      <c r="K3" s="5"/>
      <c r="L3" s="5"/>
      <c r="M3" s="5"/>
    </row>
    <row r="4" spans="2:13" s="1" customFormat="1" ht="19.350000000000001" customHeight="1" x14ac:dyDescent="0.4">
      <c r="B4"/>
      <c r="E4" s="5"/>
      <c r="K4" s="5"/>
      <c r="L4" s="5"/>
      <c r="M4" s="5"/>
    </row>
    <row r="5" spans="2:13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  <c r="K5" s="5"/>
      <c r="L5" s="5"/>
      <c r="M5" s="5"/>
    </row>
    <row r="6" spans="2:13" s="1" customFormat="1" ht="24" x14ac:dyDescent="0.4">
      <c r="B6" t="s">
        <v>19</v>
      </c>
      <c r="E6" s="5"/>
      <c r="K6" s="5"/>
      <c r="L6" s="5"/>
      <c r="M6" s="5"/>
    </row>
    <row r="7" spans="2:13" s="1" customFormat="1" ht="24" x14ac:dyDescent="0.4">
      <c r="B7" s="1" t="s">
        <v>20</v>
      </c>
      <c r="C7" s="65" t="str">
        <f>共通項目更新シート!B4</f>
        <v>1503C</v>
      </c>
      <c r="D7" s="65"/>
      <c r="E7" s="5"/>
      <c r="K7" s="5"/>
      <c r="L7" s="5"/>
      <c r="M7" s="5"/>
    </row>
    <row r="8" spans="2:13" s="1" customFormat="1" ht="24" x14ac:dyDescent="0.4">
      <c r="E8" s="5"/>
      <c r="K8" s="5"/>
      <c r="L8" s="5"/>
      <c r="M8" s="5"/>
    </row>
    <row r="9" spans="2:13" s="1" customFormat="1" ht="24" x14ac:dyDescent="0.4">
      <c r="B9" s="1" t="s">
        <v>44</v>
      </c>
      <c r="C9" s="65" t="str">
        <f>共通項目更新シート!B8</f>
        <v>AQ</v>
      </c>
      <c r="D9" s="65"/>
      <c r="E9" s="5"/>
      <c r="K9" s="5"/>
      <c r="L9" s="5"/>
      <c r="M9" s="5"/>
    </row>
    <row r="10" spans="2:13" s="1" customFormat="1" ht="24" x14ac:dyDescent="0.4">
      <c r="B10"/>
      <c r="E10" s="5"/>
      <c r="K10" s="5"/>
      <c r="L10" s="5"/>
      <c r="M10" s="5"/>
    </row>
    <row r="11" spans="2:13" s="1" customFormat="1" ht="26.65" customHeight="1" x14ac:dyDescent="0.4">
      <c r="B11" s="1" t="s">
        <v>16</v>
      </c>
      <c r="C11" s="3" t="s">
        <v>256</v>
      </c>
      <c r="D11" s="3"/>
      <c r="E11" s="5"/>
      <c r="F11" s="1" t="s">
        <v>152</v>
      </c>
      <c r="G11" s="3" t="s">
        <v>255</v>
      </c>
      <c r="H11" s="3">
        <v>52</v>
      </c>
      <c r="K11" s="5"/>
      <c r="L11" s="5"/>
      <c r="M11" s="5"/>
    </row>
    <row r="12" spans="2:13" s="1" customFormat="1" ht="24" x14ac:dyDescent="0.4">
      <c r="B12" s="1" t="s">
        <v>149</v>
      </c>
      <c r="C12" s="3" t="s">
        <v>151</v>
      </c>
      <c r="D12" s="3"/>
      <c r="E12" s="5"/>
      <c r="K12" s="5"/>
      <c r="L12" s="5"/>
      <c r="M12" s="5"/>
    </row>
    <row r="13" spans="2:13" s="1" customFormat="1" ht="24" x14ac:dyDescent="0.4">
      <c r="B13" s="1" t="s">
        <v>22</v>
      </c>
      <c r="C13" s="65" t="str">
        <f>共通項目更新シート!B5</f>
        <v>CE</v>
      </c>
      <c r="D13" s="65"/>
      <c r="E13" s="5"/>
      <c r="K13" s="5"/>
      <c r="L13" s="5"/>
      <c r="M13" s="5"/>
    </row>
    <row r="14" spans="2:13" s="1" customFormat="1" ht="24" x14ac:dyDescent="0.4">
      <c r="B14" s="1" t="s">
        <v>25</v>
      </c>
      <c r="C14" s="65" t="str">
        <f>共通項目更新シート!B6</f>
        <v>JCOG1503C</v>
      </c>
      <c r="D14" s="65"/>
      <c r="E14" s="5"/>
      <c r="K14" s="5"/>
      <c r="L14" s="5"/>
      <c r="M14" s="5"/>
    </row>
    <row r="15" spans="2:13" s="1" customFormat="1" ht="24" x14ac:dyDescent="0.4">
      <c r="B15" s="1" t="s">
        <v>54</v>
      </c>
      <c r="C15" s="65" t="str">
        <f>共通項目更新シート!B7</f>
        <v>D</v>
      </c>
      <c r="D15" s="65"/>
      <c r="F15" s="1" t="s">
        <v>57</v>
      </c>
      <c r="K15" s="5"/>
      <c r="L15" s="5"/>
      <c r="M15" s="5"/>
    </row>
    <row r="16" spans="2:13" s="1" customFormat="1" ht="24" x14ac:dyDescent="0.4">
      <c r="K16" s="5"/>
      <c r="L16" s="5"/>
      <c r="M16" s="5"/>
    </row>
    <row r="17" spans="2:22" s="1" customFormat="1" ht="24" x14ac:dyDescent="0.4">
      <c r="B17" s="1" t="s">
        <v>18</v>
      </c>
      <c r="K17" s="5"/>
      <c r="L17" s="5"/>
      <c r="M17" s="5"/>
    </row>
    <row r="18" spans="2:22" s="1" customFormat="1" ht="24.75" thickBot="1" x14ac:dyDescent="0.45">
      <c r="C18" s="1" t="s">
        <v>0</v>
      </c>
      <c r="D18" s="2" t="s">
        <v>2</v>
      </c>
      <c r="E18" s="2"/>
      <c r="F18" s="1" t="s">
        <v>5</v>
      </c>
      <c r="G18" s="2" t="s">
        <v>6</v>
      </c>
      <c r="K18" s="5"/>
      <c r="L18" s="5"/>
      <c r="M18" s="5"/>
      <c r="O18" s="1" t="s">
        <v>159</v>
      </c>
    </row>
    <row r="19" spans="2:22" s="1" customFormat="1" ht="24.75" thickTop="1" x14ac:dyDescent="0.4">
      <c r="B19" s="1">
        <v>1</v>
      </c>
      <c r="C19" s="1" t="s">
        <v>225</v>
      </c>
      <c r="D19" s="74" t="s">
        <v>40</v>
      </c>
      <c r="E19" s="11" t="s">
        <v>15</v>
      </c>
      <c r="F19" s="1" t="s">
        <v>7</v>
      </c>
      <c r="G19" s="67" t="s">
        <v>8</v>
      </c>
      <c r="K19" s="5"/>
      <c r="L19" s="5"/>
      <c r="M19" s="5"/>
      <c r="O19" s="1" t="s">
        <v>100</v>
      </c>
      <c r="P19" s="3"/>
      <c r="Q19" s="3" t="str">
        <f>VLOOKUP($O$19,業務フォルダー作成!$K$11:$L$22,2,FALSE)</f>
        <v>BT</v>
      </c>
      <c r="S19" s="1" t="s">
        <v>160</v>
      </c>
      <c r="U19" s="3" t="s">
        <v>161</v>
      </c>
      <c r="V19" s="56" t="str">
        <f>"←確認！進捗リストの「ファイル名」の行のデータが拡張子付きの場合は、ブランクにする"</f>
        <v>←確認！進捗リストの「ファイル名」の行のデータが拡張子付きの場合は、ブランクにする</v>
      </c>
    </row>
    <row r="20" spans="2:22" s="1" customFormat="1" ht="24" x14ac:dyDescent="0.4">
      <c r="B20" s="1">
        <v>2</v>
      </c>
      <c r="C20" s="1" t="s">
        <v>9</v>
      </c>
      <c r="D20" s="75" t="s">
        <v>42</v>
      </c>
      <c r="E20" s="11" t="s">
        <v>15</v>
      </c>
      <c r="F20" s="1" t="s">
        <v>9</v>
      </c>
      <c r="G20" s="67" t="s">
        <v>11</v>
      </c>
      <c r="K20" s="5"/>
      <c r="L20" s="5"/>
      <c r="M20" s="5"/>
    </row>
    <row r="21" spans="2:22" s="1" customFormat="1" ht="24" x14ac:dyDescent="0.4">
      <c r="B21" s="1">
        <v>3</v>
      </c>
      <c r="C21" s="1" t="s">
        <v>3</v>
      </c>
      <c r="D21" s="75" t="s">
        <v>43</v>
      </c>
      <c r="E21" s="11" t="s">
        <v>15</v>
      </c>
      <c r="F21" s="1" t="s">
        <v>3</v>
      </c>
      <c r="G21" s="67" t="s">
        <v>10</v>
      </c>
      <c r="K21" s="5"/>
      <c r="L21" s="5"/>
      <c r="M21" s="5"/>
    </row>
    <row r="22" spans="2:22" s="1" customFormat="1" ht="24" x14ac:dyDescent="0.4">
      <c r="B22" s="1">
        <v>4</v>
      </c>
      <c r="C22" s="1" t="s">
        <v>4</v>
      </c>
      <c r="D22" s="75" t="s">
        <v>45</v>
      </c>
      <c r="E22" s="11" t="s">
        <v>15</v>
      </c>
      <c r="F22" s="1" t="s">
        <v>12</v>
      </c>
      <c r="G22" s="67" t="s">
        <v>13</v>
      </c>
      <c r="K22" s="5"/>
      <c r="L22" s="5"/>
      <c r="M22" s="5"/>
    </row>
    <row r="23" spans="2:22" s="1" customFormat="1" ht="24.75" thickBot="1" x14ac:dyDescent="0.45">
      <c r="B23" s="1">
        <v>5</v>
      </c>
      <c r="C23" s="1" t="s">
        <v>23</v>
      </c>
      <c r="D23" s="76" t="s">
        <v>41</v>
      </c>
      <c r="E23" s="11" t="s">
        <v>15</v>
      </c>
      <c r="F23" s="1" t="s">
        <v>35</v>
      </c>
      <c r="G23" s="67" t="s">
        <v>24</v>
      </c>
      <c r="K23" s="5"/>
      <c r="L23" s="5"/>
      <c r="M23" s="5"/>
    </row>
    <row r="24" spans="2:22" ht="25.5" thickTop="1" thickBot="1" x14ac:dyDescent="0.45">
      <c r="C24" s="28" t="s">
        <v>32</v>
      </c>
      <c r="D24" s="4" t="s">
        <v>47</v>
      </c>
      <c r="E24" s="7"/>
      <c r="F24" s="7"/>
      <c r="G24" s="7"/>
    </row>
    <row r="25" spans="2:22" ht="24" x14ac:dyDescent="0.4">
      <c r="C25" s="1" t="s">
        <v>34</v>
      </c>
    </row>
    <row r="26" spans="2:22" ht="24" x14ac:dyDescent="0.4">
      <c r="C26" s="59" t="s">
        <v>213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Proc.mainProc">
                <anchor moveWithCells="1" sizeWithCells="1">
                  <from>
                    <xdr:col>1</xdr:col>
                    <xdr:colOff>581025</xdr:colOff>
                    <xdr:row>29</xdr:row>
                    <xdr:rowOff>180975</xdr:rowOff>
                  </from>
                  <to>
                    <xdr:col>2</xdr:col>
                    <xdr:colOff>1038225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Proc7.mainProc7">
                <anchor moveWithCells="1" sizeWithCells="1">
                  <from>
                    <xdr:col>14</xdr:col>
                    <xdr:colOff>47625</xdr:colOff>
                    <xdr:row>21</xdr:row>
                    <xdr:rowOff>19050</xdr:rowOff>
                  </from>
                  <to>
                    <xdr:col>17</xdr:col>
                    <xdr:colOff>19050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業務フォルダー作成!$K$11:$K$22</xm:f>
          </x14:formula1>
          <xm:sqref>O19</xm:sqref>
        </x14:dataValidation>
        <x14:dataValidation type="list" allowBlank="1" showInputMessage="1" showErrorMessage="1">
          <x14:formula1>
            <xm:f>業務フォルダー作成!$N$11:$N$15</xm:f>
          </x14:formula1>
          <xm:sqref>U19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W22"/>
  <sheetViews>
    <sheetView workbookViewId="0">
      <selection activeCell="M16" sqref="M16"/>
    </sheetView>
  </sheetViews>
  <sheetFormatPr defaultColWidth="8.875" defaultRowHeight="18.75" x14ac:dyDescent="0.4"/>
  <cols>
    <col min="2" max="2" width="33.625" customWidth="1"/>
    <col min="3" max="3" width="32.375" customWidth="1"/>
    <col min="5" max="5" width="5.75" customWidth="1"/>
    <col min="6" max="6" width="31.875" customWidth="1"/>
    <col min="15" max="15" width="29" customWidth="1"/>
    <col min="16" max="16" width="2.25" customWidth="1"/>
    <col min="19" max="19" width="22.75" customWidth="1"/>
    <col min="20" max="20" width="2.25" customWidth="1"/>
  </cols>
  <sheetData>
    <row r="1" spans="2:6" ht="24.75" thickBot="1" x14ac:dyDescent="0.45">
      <c r="B1" s="1" t="s">
        <v>104</v>
      </c>
      <c r="F1" t="s">
        <v>50</v>
      </c>
    </row>
    <row r="2" spans="2:6" s="1" customFormat="1" ht="24.75" thickBot="1" x14ac:dyDescent="0.45">
      <c r="B2" s="27" t="s">
        <v>105</v>
      </c>
      <c r="C2" s="3" t="s">
        <v>51</v>
      </c>
      <c r="D2" s="3"/>
      <c r="E2" s="5"/>
    </row>
    <row r="3" spans="2:6" s="1" customFormat="1" ht="19.350000000000001" customHeight="1" x14ac:dyDescent="0.4">
      <c r="B3" t="s">
        <v>26</v>
      </c>
      <c r="E3" s="5"/>
    </row>
    <row r="4" spans="2:6" s="1" customFormat="1" ht="19.350000000000001" customHeight="1" x14ac:dyDescent="0.4">
      <c r="B4"/>
      <c r="E4" s="5"/>
    </row>
    <row r="5" spans="2:6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</row>
    <row r="6" spans="2:6" s="1" customFormat="1" ht="24" x14ac:dyDescent="0.4">
      <c r="B6" t="s">
        <v>19</v>
      </c>
      <c r="E6" s="5"/>
    </row>
    <row r="7" spans="2:6" s="1" customFormat="1" ht="24" x14ac:dyDescent="0.4">
      <c r="B7" s="65" t="s">
        <v>20</v>
      </c>
      <c r="C7" s="65" t="str">
        <f>共通項目更新シート!B4</f>
        <v>1503C</v>
      </c>
      <c r="D7" s="65"/>
      <c r="E7" s="5"/>
    </row>
    <row r="8" spans="2:6" s="1" customFormat="1" ht="24" x14ac:dyDescent="0.4">
      <c r="E8" s="5"/>
    </row>
    <row r="9" spans="2:6" s="1" customFormat="1" ht="24" x14ac:dyDescent="0.4">
      <c r="B9" s="1" t="s">
        <v>44</v>
      </c>
      <c r="C9" s="65" t="str">
        <f>共通項目更新シート!B8</f>
        <v>AQ</v>
      </c>
      <c r="D9" s="65"/>
      <c r="E9" s="5"/>
    </row>
    <row r="10" spans="2:6" s="1" customFormat="1" ht="24" x14ac:dyDescent="0.4">
      <c r="B10"/>
      <c r="E10" s="5"/>
    </row>
    <row r="11" spans="2:6" s="1" customFormat="1" ht="26.65" customHeight="1" x14ac:dyDescent="0.4">
      <c r="B11" s="1" t="s">
        <v>16</v>
      </c>
      <c r="C11" s="3" t="s">
        <v>52</v>
      </c>
      <c r="D11" s="3"/>
      <c r="E11" s="5"/>
    </row>
    <row r="12" spans="2:6" s="1" customFormat="1" ht="24" x14ac:dyDescent="0.4">
      <c r="E12" s="5"/>
    </row>
    <row r="13" spans="2:6" s="1" customFormat="1" ht="24" x14ac:dyDescent="0.4">
      <c r="B13" s="65" t="s">
        <v>22</v>
      </c>
      <c r="C13" s="65" t="str">
        <f>共通項目更新シート!B5</f>
        <v>CE</v>
      </c>
      <c r="D13" s="65"/>
      <c r="E13" s="5"/>
    </row>
    <row r="14" spans="2:6" s="1" customFormat="1" ht="24" x14ac:dyDescent="0.4">
      <c r="B14" s="65" t="s">
        <v>25</v>
      </c>
      <c r="C14" s="65" t="str">
        <f>共通項目更新シート!B6</f>
        <v>JCOG1503C</v>
      </c>
      <c r="D14" s="65"/>
      <c r="E14" s="5"/>
    </row>
    <row r="15" spans="2:6" s="1" customFormat="1" ht="24" x14ac:dyDescent="0.4">
      <c r="B15" s="65" t="s">
        <v>54</v>
      </c>
      <c r="C15" s="65" t="str">
        <f>共通項目更新シート!B7</f>
        <v>D</v>
      </c>
      <c r="D15" s="65"/>
      <c r="F15" s="1" t="s">
        <v>57</v>
      </c>
    </row>
    <row r="16" spans="2:6" s="1" customFormat="1" ht="24" x14ac:dyDescent="0.4"/>
    <row r="17" spans="2:23" s="1" customFormat="1" ht="24" x14ac:dyDescent="0.4">
      <c r="B17" s="1" t="s">
        <v>80</v>
      </c>
    </row>
    <row r="18" spans="2:23" s="1" customFormat="1" ht="24.75" thickBot="1" x14ac:dyDescent="0.45">
      <c r="C18" s="1" t="s">
        <v>0</v>
      </c>
      <c r="D18" s="2" t="s">
        <v>2</v>
      </c>
      <c r="E18" s="15"/>
      <c r="F18" s="14" t="s">
        <v>5</v>
      </c>
      <c r="G18" s="15" t="s">
        <v>6</v>
      </c>
      <c r="O18" s="1" t="s">
        <v>159</v>
      </c>
      <c r="V18"/>
      <c r="W18"/>
    </row>
    <row r="19" spans="2:23" s="1" customFormat="1" ht="24.75" thickBot="1" x14ac:dyDescent="0.45">
      <c r="B19" s="1">
        <v>1</v>
      </c>
      <c r="C19" s="1" t="s">
        <v>225</v>
      </c>
      <c r="D19" s="82" t="str">
        <f>実績報告書作成!D19</f>
        <v>F</v>
      </c>
      <c r="E19" s="15" t="s">
        <v>15</v>
      </c>
      <c r="F19" s="14" t="s">
        <v>7</v>
      </c>
      <c r="G19" s="15" t="s">
        <v>8</v>
      </c>
      <c r="O19" s="1" t="s">
        <v>100</v>
      </c>
      <c r="P19" s="3"/>
      <c r="Q19" s="3" t="str">
        <f>VLOOKUP($O$19,業務フォルダー作成!$K$11:$L$22,2,FALSE)</f>
        <v>BT</v>
      </c>
      <c r="S19" s="1" t="s">
        <v>160</v>
      </c>
      <c r="U19" s="3"/>
      <c r="V19" s="58" t="str">
        <f>"←確認！進捗リストの「ファイル名」の行のデータが拡張子付きの場合は、ブランクにする"</f>
        <v>←確認！進捗リストの「ファイル名」の行のデータが拡張子付きの場合は、ブランクにする</v>
      </c>
      <c r="W19"/>
    </row>
    <row r="20" spans="2:23" ht="24" x14ac:dyDescent="0.4">
      <c r="C20" s="6" t="s">
        <v>32</v>
      </c>
      <c r="D20" s="4" t="s">
        <v>125</v>
      </c>
      <c r="E20" s="7"/>
      <c r="F20" s="7"/>
      <c r="G20" s="7"/>
    </row>
    <row r="21" spans="2:23" ht="24" x14ac:dyDescent="0.4">
      <c r="C21" s="1" t="s">
        <v>34</v>
      </c>
    </row>
    <row r="22" spans="2:23" ht="24" x14ac:dyDescent="0.4">
      <c r="C22" s="59" t="s">
        <v>216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Proc4.mainProc4">
                <anchor moveWithCells="1" sizeWithCells="1">
                  <from>
                    <xdr:col>1</xdr:col>
                    <xdr:colOff>581025</xdr:colOff>
                    <xdr:row>25</xdr:row>
                    <xdr:rowOff>180975</xdr:rowOff>
                  </from>
                  <to>
                    <xdr:col>2</xdr:col>
                    <xdr:colOff>1038225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ainProc7.mainProc7">
                <anchor moveWithCells="1" sizeWithCells="1">
                  <from>
                    <xdr:col>14</xdr:col>
                    <xdr:colOff>438150</xdr:colOff>
                    <xdr:row>20</xdr:row>
                    <xdr:rowOff>38100</xdr:rowOff>
                  </from>
                  <to>
                    <xdr:col>17</xdr:col>
                    <xdr:colOff>409575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業務フォルダー作成!$K$11:$K$22</xm:f>
          </x14:formula1>
          <xm:sqref>O19</xm:sqref>
        </x14:dataValidation>
        <x14:dataValidation type="list" allowBlank="1" showInputMessage="1" showErrorMessage="1">
          <x14:formula1>
            <xm:f>業務フォルダー作成!$N$11:$N$15</xm:f>
          </x14:formula1>
          <xm:sqref>U19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V23"/>
  <sheetViews>
    <sheetView topLeftCell="A5" workbookViewId="0">
      <selection activeCell="F41" sqref="F41"/>
    </sheetView>
  </sheetViews>
  <sheetFormatPr defaultColWidth="8.875" defaultRowHeight="18.75" x14ac:dyDescent="0.4"/>
  <cols>
    <col min="2" max="2" width="33.625" customWidth="1"/>
    <col min="3" max="3" width="32.375" customWidth="1"/>
    <col min="5" max="5" width="5.75" customWidth="1"/>
    <col min="6" max="6" width="31.875" customWidth="1"/>
    <col min="11" max="13" width="3.5" style="26" customWidth="1"/>
    <col min="14" max="14" width="3.5" customWidth="1"/>
    <col min="15" max="15" width="29" customWidth="1"/>
    <col min="16" max="16" width="2.25" customWidth="1"/>
    <col min="19" max="19" width="22.75" customWidth="1"/>
    <col min="20" max="20" width="2.25" customWidth="1"/>
  </cols>
  <sheetData>
    <row r="1" spans="2:13" ht="24.75" thickBot="1" x14ac:dyDescent="0.45">
      <c r="B1" s="1" t="s">
        <v>145</v>
      </c>
      <c r="F1" t="s">
        <v>55</v>
      </c>
    </row>
    <row r="2" spans="2:13" s="1" customFormat="1" ht="24.75" thickBot="1" x14ac:dyDescent="0.45">
      <c r="B2" s="27" t="s">
        <v>105</v>
      </c>
      <c r="C2" s="3" t="str">
        <f>共通項目更新シート!B2&amp;"_実績0件"</f>
        <v>JCOG1503C_実績0件</v>
      </c>
      <c r="D2" s="3"/>
      <c r="E2" s="5"/>
      <c r="K2" s="5"/>
      <c r="L2" s="5"/>
      <c r="M2" s="5"/>
    </row>
    <row r="3" spans="2:13" s="1" customFormat="1" ht="19.350000000000001" customHeight="1" x14ac:dyDescent="0.4">
      <c r="B3" t="s">
        <v>26</v>
      </c>
      <c r="E3" s="5"/>
      <c r="K3" s="5"/>
      <c r="L3" s="5"/>
      <c r="M3" s="5"/>
    </row>
    <row r="4" spans="2:13" s="1" customFormat="1" ht="19.350000000000001" customHeight="1" x14ac:dyDescent="0.4">
      <c r="B4"/>
      <c r="E4" s="5"/>
      <c r="K4" s="5"/>
      <c r="L4" s="5"/>
      <c r="M4" s="5"/>
    </row>
    <row r="5" spans="2:13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  <c r="K5" s="5"/>
      <c r="L5" s="5"/>
      <c r="M5" s="5"/>
    </row>
    <row r="6" spans="2:13" s="1" customFormat="1" ht="24.75" thickBot="1" x14ac:dyDescent="0.45">
      <c r="B6" t="s">
        <v>19</v>
      </c>
      <c r="E6" s="5"/>
      <c r="K6" s="5"/>
      <c r="L6" s="5"/>
      <c r="M6" s="5"/>
    </row>
    <row r="7" spans="2:13" s="1" customFormat="1" ht="24.75" thickBot="1" x14ac:dyDescent="0.45">
      <c r="B7" s="1" t="s">
        <v>20</v>
      </c>
      <c r="C7" s="65" t="str">
        <f>共通項目更新シート!B4</f>
        <v>1503C</v>
      </c>
      <c r="D7" s="65"/>
      <c r="E7" s="5"/>
      <c r="F7" s="10"/>
      <c r="G7" s="84" t="s">
        <v>241</v>
      </c>
      <c r="H7" s="84" t="s">
        <v>242</v>
      </c>
      <c r="K7" s="5"/>
      <c r="L7" s="5"/>
      <c r="M7" s="5"/>
    </row>
    <row r="8" spans="2:13" s="1" customFormat="1" ht="24.75" thickBot="1" x14ac:dyDescent="0.45">
      <c r="E8" s="5"/>
      <c r="G8" s="84" t="s">
        <v>165</v>
      </c>
      <c r="H8" s="84">
        <v>51</v>
      </c>
      <c r="K8" s="5"/>
      <c r="L8" s="5"/>
      <c r="M8" s="5"/>
    </row>
    <row r="9" spans="2:13" s="1" customFormat="1" ht="24.75" thickBot="1" x14ac:dyDescent="0.45">
      <c r="B9" s="3" t="s">
        <v>44</v>
      </c>
      <c r="C9" s="66" t="str">
        <f>共通項目更新シート!B8</f>
        <v>AQ</v>
      </c>
      <c r="D9" s="3"/>
      <c r="E9" s="5"/>
      <c r="G9" s="84" t="s">
        <v>154</v>
      </c>
      <c r="H9" s="84">
        <v>56</v>
      </c>
      <c r="K9" s="5"/>
      <c r="L9" s="5"/>
      <c r="M9" s="5"/>
    </row>
    <row r="10" spans="2:13" s="5" customFormat="1" ht="24" x14ac:dyDescent="0.4">
      <c r="B10" s="5" t="s">
        <v>218</v>
      </c>
      <c r="C10" s="5" t="s">
        <v>220</v>
      </c>
    </row>
    <row r="11" spans="2:13" s="1" customFormat="1" ht="26.65" customHeight="1" x14ac:dyDescent="0.4">
      <c r="B11" s="63" t="s">
        <v>16</v>
      </c>
      <c r="C11" s="48" t="s">
        <v>148</v>
      </c>
      <c r="D11" s="48"/>
      <c r="E11" s="48"/>
      <c r="F11" s="83" t="s">
        <v>152</v>
      </c>
      <c r="G11" s="85" t="s">
        <v>153</v>
      </c>
      <c r="H11" s="85">
        <v>51</v>
      </c>
      <c r="K11" s="5"/>
      <c r="L11" s="5"/>
      <c r="M11" s="5"/>
    </row>
    <row r="12" spans="2:13" s="1" customFormat="1" ht="24" x14ac:dyDescent="0.4">
      <c r="B12" s="1" t="s">
        <v>149</v>
      </c>
      <c r="C12" s="3" t="s">
        <v>150</v>
      </c>
      <c r="D12" s="3"/>
      <c r="E12" s="5"/>
      <c r="K12" s="5"/>
      <c r="L12" s="5"/>
      <c r="M12" s="5"/>
    </row>
    <row r="13" spans="2:13" s="1" customFormat="1" ht="24" x14ac:dyDescent="0.4">
      <c r="B13" s="1" t="s">
        <v>22</v>
      </c>
      <c r="C13" s="65" t="str">
        <f>共通項目更新シート!B5</f>
        <v>CE</v>
      </c>
      <c r="D13" s="65"/>
      <c r="E13" s="5"/>
      <c r="K13" s="5"/>
      <c r="L13" s="5"/>
      <c r="M13" s="5"/>
    </row>
    <row r="14" spans="2:13" s="1" customFormat="1" ht="24" x14ac:dyDescent="0.4">
      <c r="B14" s="1" t="s">
        <v>25</v>
      </c>
      <c r="C14" s="65" t="str">
        <f>共通項目更新シート!B6</f>
        <v>JCOG1503C</v>
      </c>
      <c r="D14" s="65"/>
      <c r="E14" s="5"/>
      <c r="K14" s="5"/>
      <c r="L14" s="5"/>
      <c r="M14" s="5"/>
    </row>
    <row r="15" spans="2:13" s="1" customFormat="1" ht="24" x14ac:dyDescent="0.4">
      <c r="B15" s="1" t="s">
        <v>54</v>
      </c>
      <c r="C15" s="65" t="str">
        <f>共通項目更新シート!B7</f>
        <v>D</v>
      </c>
      <c r="D15" s="65"/>
      <c r="F15" s="1" t="s">
        <v>57</v>
      </c>
      <c r="K15" s="5"/>
      <c r="L15" s="5"/>
      <c r="M15" s="5"/>
    </row>
    <row r="16" spans="2:13" s="1" customFormat="1" ht="24" x14ac:dyDescent="0.4">
      <c r="K16" s="5"/>
      <c r="L16" s="5"/>
      <c r="M16" s="5"/>
    </row>
    <row r="17" spans="2:22" s="1" customFormat="1" ht="24" x14ac:dyDescent="0.4">
      <c r="B17" s="1" t="s">
        <v>18</v>
      </c>
      <c r="K17" s="5"/>
      <c r="L17" s="5"/>
      <c r="M17" s="5"/>
    </row>
    <row r="18" spans="2:22" s="1" customFormat="1" ht="24.75" thickBot="1" x14ac:dyDescent="0.45">
      <c r="C18" s="1" t="s">
        <v>0</v>
      </c>
      <c r="D18" s="2" t="s">
        <v>2</v>
      </c>
      <c r="E18" s="2"/>
      <c r="F18" s="1" t="s">
        <v>146</v>
      </c>
      <c r="G18" s="2" t="s">
        <v>6</v>
      </c>
      <c r="K18" s="5"/>
      <c r="L18" s="5"/>
      <c r="M18" s="5"/>
      <c r="O18" s="1" t="s">
        <v>159</v>
      </c>
    </row>
    <row r="19" spans="2:22" s="1" customFormat="1" ht="24.75" thickBot="1" x14ac:dyDescent="0.45">
      <c r="B19" s="1">
        <v>1</v>
      </c>
      <c r="C19" s="1" t="s">
        <v>1</v>
      </c>
      <c r="D19" s="82" t="str">
        <f>実績報告書作成!D19</f>
        <v>F</v>
      </c>
      <c r="E19" s="11" t="s">
        <v>15</v>
      </c>
      <c r="F19" s="1" t="s">
        <v>147</v>
      </c>
      <c r="G19" s="4" t="s">
        <v>8</v>
      </c>
      <c r="K19" s="5"/>
      <c r="L19" s="5"/>
      <c r="M19" s="5"/>
      <c r="O19" s="1" t="s">
        <v>100</v>
      </c>
      <c r="P19" s="3"/>
      <c r="Q19" s="3" t="str">
        <f>VLOOKUP($O$19,業務フォルダー作成!$K$11:$L$22,2,FALSE)</f>
        <v>BT</v>
      </c>
      <c r="S19" s="1" t="s">
        <v>160</v>
      </c>
      <c r="U19" s="3" t="s">
        <v>165</v>
      </c>
      <c r="V19" s="58" t="str">
        <f>"←確認！進捗リストの「ファイル名」の行のデータが拡張子付きの場合は、ブランクにする"</f>
        <v>←確認！進捗リストの「ファイル名」の行のデータが拡張子付きの場合は、ブランクにする</v>
      </c>
    </row>
    <row r="20" spans="2:22" s="1" customFormat="1" ht="24.75" thickBot="1" x14ac:dyDescent="0.45">
      <c r="C20" s="6" t="s">
        <v>219</v>
      </c>
      <c r="D20" s="4" t="s">
        <v>257</v>
      </c>
      <c r="E20" s="7"/>
      <c r="F20" s="7"/>
      <c r="G20" s="7"/>
      <c r="K20" s="5"/>
      <c r="L20" s="5"/>
      <c r="M20" s="5"/>
      <c r="P20" s="3"/>
      <c r="Q20" s="3"/>
      <c r="U20" s="3"/>
      <c r="V20" s="58"/>
    </row>
    <row r="21" spans="2:22" ht="24.75" thickBot="1" x14ac:dyDescent="0.45">
      <c r="C21" s="28" t="s">
        <v>32</v>
      </c>
      <c r="D21" s="4" t="s">
        <v>175</v>
      </c>
      <c r="E21" s="7"/>
      <c r="F21" s="7"/>
      <c r="G21" s="7"/>
    </row>
    <row r="22" spans="2:22" ht="24" x14ac:dyDescent="0.4">
      <c r="C22" s="1" t="s">
        <v>34</v>
      </c>
    </row>
    <row r="23" spans="2:22" ht="24" x14ac:dyDescent="0.4">
      <c r="C23" s="59" t="s">
        <v>214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inProc.mainProc">
                <anchor moveWithCells="1" sizeWithCells="1">
                  <from>
                    <xdr:col>1</xdr:col>
                    <xdr:colOff>581025</xdr:colOff>
                    <xdr:row>26</xdr:row>
                    <xdr:rowOff>180975</xdr:rowOff>
                  </from>
                  <to>
                    <xdr:col>2</xdr:col>
                    <xdr:colOff>1038225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5" name="Button 5">
              <controlPr defaultSize="0" print="0" autoFill="0" autoPict="0" macro="[0]!mainProc7.mainProc7">
                <anchor moveWithCells="1" sizeWithCells="1">
                  <from>
                    <xdr:col>14</xdr:col>
                    <xdr:colOff>47625</xdr:colOff>
                    <xdr:row>21</xdr:row>
                    <xdr:rowOff>0</xdr:rowOff>
                  </from>
                  <to>
                    <xdr:col>17</xdr:col>
                    <xdr:colOff>19050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業務フォルダー作成!$K$11:$K$22</xm:f>
          </x14:formula1>
          <xm:sqref>O19:O20</xm:sqref>
        </x14:dataValidation>
        <x14:dataValidation type="list" allowBlank="1" showInputMessage="1" showErrorMessage="1">
          <x14:formula1>
            <xm:f>業務フォルダー作成!$N$11:$N$15</xm:f>
          </x14:formula1>
          <xm:sqref>U19:U20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V23"/>
  <sheetViews>
    <sheetView workbookViewId="0"/>
  </sheetViews>
  <sheetFormatPr defaultColWidth="8.875" defaultRowHeight="18.75" x14ac:dyDescent="0.4"/>
  <cols>
    <col min="2" max="2" width="33.625" customWidth="1"/>
    <col min="3" max="3" width="32.375" customWidth="1"/>
    <col min="5" max="5" width="5.75" customWidth="1"/>
    <col min="6" max="6" width="31.875" customWidth="1"/>
    <col min="11" max="13" width="3.5" style="26" customWidth="1"/>
    <col min="14" max="14" width="3.5" customWidth="1"/>
    <col min="15" max="15" width="29" customWidth="1"/>
    <col min="16" max="16" width="2.25" customWidth="1"/>
    <col min="19" max="19" width="22.75" customWidth="1"/>
    <col min="20" max="20" width="2.25" customWidth="1"/>
  </cols>
  <sheetData>
    <row r="1" spans="1:13" ht="24.75" thickBot="1" x14ac:dyDescent="0.45">
      <c r="B1" s="1" t="s">
        <v>170</v>
      </c>
      <c r="F1" t="s">
        <v>55</v>
      </c>
    </row>
    <row r="2" spans="1:13" s="1" customFormat="1" ht="24.75" thickBot="1" x14ac:dyDescent="0.45">
      <c r="B2" s="27" t="s">
        <v>105</v>
      </c>
      <c r="C2" s="3" t="s">
        <v>169</v>
      </c>
      <c r="D2" s="3"/>
      <c r="E2" s="5"/>
      <c r="K2" s="5"/>
      <c r="L2" s="5"/>
      <c r="M2" s="5"/>
    </row>
    <row r="3" spans="1:13" s="1" customFormat="1" ht="19.350000000000001" customHeight="1" x14ac:dyDescent="0.4">
      <c r="B3" t="s">
        <v>26</v>
      </c>
      <c r="E3" s="5"/>
      <c r="K3" s="5"/>
      <c r="L3" s="5"/>
      <c r="M3" s="5"/>
    </row>
    <row r="4" spans="1:13" s="1" customFormat="1" ht="19.350000000000001" customHeight="1" x14ac:dyDescent="0.4">
      <c r="B4"/>
      <c r="E4" s="5"/>
      <c r="K4" s="5"/>
      <c r="L4" s="5"/>
      <c r="M4" s="5"/>
    </row>
    <row r="5" spans="1:13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  <c r="K5" s="5"/>
      <c r="L5" s="5"/>
      <c r="M5" s="5"/>
    </row>
    <row r="6" spans="1:13" s="1" customFormat="1" ht="24" x14ac:dyDescent="0.4">
      <c r="B6" t="s">
        <v>19</v>
      </c>
      <c r="E6" s="5"/>
      <c r="K6" s="5"/>
      <c r="L6" s="5"/>
      <c r="M6" s="5"/>
    </row>
    <row r="7" spans="1:13" s="1" customFormat="1" ht="24" x14ac:dyDescent="0.4">
      <c r="B7" s="65" t="s">
        <v>20</v>
      </c>
      <c r="C7" s="65" t="str">
        <f>共通項目更新シート!B4</f>
        <v>1503C</v>
      </c>
      <c r="D7" s="65"/>
      <c r="E7" s="5"/>
      <c r="K7" s="5"/>
      <c r="L7" s="5"/>
      <c r="M7" s="5"/>
    </row>
    <row r="8" spans="1:13" s="1" customFormat="1" ht="24" x14ac:dyDescent="0.4">
      <c r="E8" s="5"/>
      <c r="K8" s="5"/>
      <c r="L8" s="5"/>
      <c r="M8" s="5"/>
    </row>
    <row r="9" spans="1:13" s="1" customFormat="1" ht="24" x14ac:dyDescent="0.4">
      <c r="B9" s="5" t="s">
        <v>44</v>
      </c>
      <c r="C9" s="3" t="s">
        <v>238</v>
      </c>
      <c r="D9" s="5"/>
      <c r="E9" s="5"/>
      <c r="K9" s="5"/>
      <c r="L9" s="5"/>
      <c r="M9" s="5"/>
    </row>
    <row r="10" spans="1:13" s="1" customFormat="1" ht="24" x14ac:dyDescent="0.4">
      <c r="B10"/>
      <c r="E10" s="5"/>
      <c r="K10" s="5"/>
      <c r="L10" s="5"/>
      <c r="M10" s="5"/>
    </row>
    <row r="11" spans="1:13" s="39" customFormat="1" ht="26.65" customHeight="1" x14ac:dyDescent="0.4">
      <c r="A11" s="44"/>
      <c r="B11" s="44" t="s">
        <v>16</v>
      </c>
      <c r="C11" s="44" t="s">
        <v>21</v>
      </c>
      <c r="D11" s="44"/>
      <c r="E11" s="44"/>
      <c r="F11" s="44" t="s">
        <v>152</v>
      </c>
      <c r="G11" s="44" t="s">
        <v>154</v>
      </c>
      <c r="H11" s="44">
        <v>56</v>
      </c>
      <c r="I11" s="44"/>
      <c r="J11" s="44"/>
    </row>
    <row r="12" spans="1:13" s="39" customFormat="1" ht="24" x14ac:dyDescent="0.4">
      <c r="A12" s="44"/>
      <c r="B12" s="44" t="s">
        <v>149</v>
      </c>
      <c r="C12" s="44" t="s">
        <v>151</v>
      </c>
      <c r="D12" s="44"/>
      <c r="E12" s="44"/>
      <c r="F12" s="44"/>
      <c r="G12" s="44"/>
      <c r="H12" s="44"/>
      <c r="I12" s="44"/>
      <c r="J12" s="44"/>
    </row>
    <row r="13" spans="1:13" s="39" customFormat="1" ht="24" x14ac:dyDescent="0.4">
      <c r="A13" s="44"/>
      <c r="B13" s="44" t="s">
        <v>22</v>
      </c>
      <c r="C13" s="44" t="s">
        <v>39</v>
      </c>
      <c r="D13" s="44"/>
      <c r="E13" s="44"/>
      <c r="F13" s="44"/>
      <c r="G13" s="44"/>
      <c r="H13" s="44"/>
      <c r="I13" s="44"/>
      <c r="J13" s="44"/>
    </row>
    <row r="14" spans="1:13" s="39" customFormat="1" ht="24" x14ac:dyDescent="0.4">
      <c r="A14" s="44"/>
      <c r="B14" s="44" t="s">
        <v>25</v>
      </c>
      <c r="C14" s="44" t="s">
        <v>38</v>
      </c>
      <c r="D14" s="44"/>
      <c r="E14" s="44"/>
      <c r="F14" s="44"/>
      <c r="G14" s="44"/>
      <c r="H14" s="44"/>
      <c r="I14" s="44"/>
      <c r="J14" s="44"/>
    </row>
    <row r="15" spans="1:13" s="39" customFormat="1" ht="24" x14ac:dyDescent="0.4">
      <c r="A15" s="44"/>
      <c r="B15" s="44" t="s">
        <v>54</v>
      </c>
      <c r="C15" s="44" t="s">
        <v>53</v>
      </c>
      <c r="D15" s="44"/>
      <c r="E15" s="44"/>
      <c r="F15" s="44" t="s">
        <v>168</v>
      </c>
      <c r="G15" s="44"/>
      <c r="H15" s="44"/>
      <c r="I15" s="44"/>
      <c r="J15" s="44"/>
    </row>
    <row r="16" spans="1:13" s="43" customFormat="1" ht="24" x14ac:dyDescent="0.4"/>
    <row r="17" spans="2:22" s="1" customFormat="1" ht="24" x14ac:dyDescent="0.4">
      <c r="B17" s="1" t="s">
        <v>18</v>
      </c>
      <c r="K17" s="5"/>
      <c r="L17" s="5"/>
      <c r="M17" s="5"/>
    </row>
    <row r="18" spans="2:22" s="1" customFormat="1" ht="24.75" thickBot="1" x14ac:dyDescent="0.45">
      <c r="C18" s="1" t="s">
        <v>0</v>
      </c>
      <c r="D18" s="2" t="s">
        <v>2</v>
      </c>
      <c r="E18" s="2"/>
      <c r="F18" s="1" t="s">
        <v>5</v>
      </c>
      <c r="G18" s="2" t="s">
        <v>6</v>
      </c>
      <c r="K18" s="5"/>
      <c r="L18" s="5"/>
      <c r="M18" s="5"/>
      <c r="O18" s="1" t="s">
        <v>159</v>
      </c>
    </row>
    <row r="19" spans="2:22" s="1" customFormat="1" ht="24.75" thickBot="1" x14ac:dyDescent="0.45">
      <c r="B19" s="1">
        <v>1</v>
      </c>
      <c r="C19" s="28" t="s">
        <v>32</v>
      </c>
      <c r="D19" s="45" t="s">
        <v>122</v>
      </c>
      <c r="E19" s="7"/>
      <c r="F19" s="7"/>
      <c r="G19" s="7"/>
      <c r="K19" s="5"/>
      <c r="L19" s="5"/>
      <c r="M19" s="5"/>
      <c r="O19" s="1" t="s">
        <v>100</v>
      </c>
      <c r="P19" s="3"/>
      <c r="Q19" s="3" t="str">
        <f>VLOOKUP($O$19,業務フォルダー作成!$K$11:$L$22,2,FALSE)</f>
        <v>BT</v>
      </c>
      <c r="S19" s="1" t="s">
        <v>160</v>
      </c>
      <c r="U19" s="3"/>
      <c r="V19" s="58" t="str">
        <f>"←確認！進捗リストの「ファイル名」の行のデータが拡張子付きの場合は、ブランクにする"</f>
        <v>←確認！進捗リストの「ファイル名」の行のデータが拡張子付きの場合は、ブランクにする</v>
      </c>
    </row>
    <row r="20" spans="2:22" s="1" customFormat="1" ht="24" x14ac:dyDescent="0.4">
      <c r="C20" s="1" t="s">
        <v>34</v>
      </c>
      <c r="D20"/>
      <c r="E20"/>
      <c r="F20"/>
      <c r="G20"/>
      <c r="K20" s="5"/>
      <c r="L20" s="5"/>
      <c r="M20" s="5"/>
    </row>
    <row r="21" spans="2:22" s="1" customFormat="1" ht="24" x14ac:dyDescent="0.4">
      <c r="C21" s="59" t="s">
        <v>215</v>
      </c>
      <c r="D21"/>
      <c r="E21"/>
      <c r="F21"/>
      <c r="G21"/>
      <c r="K21" s="5"/>
      <c r="L21" s="5"/>
      <c r="M21" s="5"/>
    </row>
    <row r="22" spans="2:22" s="1" customFormat="1" ht="24" x14ac:dyDescent="0.4">
      <c r="C22"/>
      <c r="D22"/>
      <c r="E22"/>
      <c r="F22"/>
      <c r="G22"/>
      <c r="K22" s="5"/>
      <c r="L22" s="5"/>
      <c r="M22" s="5"/>
    </row>
    <row r="23" spans="2:22" s="1" customFormat="1" ht="24" x14ac:dyDescent="0.4">
      <c r="C23"/>
      <c r="D23"/>
      <c r="E23"/>
      <c r="F23"/>
      <c r="G23"/>
      <c r="K23" s="5"/>
      <c r="L23" s="5"/>
      <c r="M23" s="5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mainProc7.mainProc7">
                <anchor moveWithCells="1" sizeWithCells="1">
                  <from>
                    <xdr:col>14</xdr:col>
                    <xdr:colOff>47625</xdr:colOff>
                    <xdr:row>21</xdr:row>
                    <xdr:rowOff>19050</xdr:rowOff>
                  </from>
                  <to>
                    <xdr:col>17</xdr:col>
                    <xdr:colOff>19050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業務フォルダー作成!$K$11:$K$22</xm:f>
          </x14:formula1>
          <xm:sqref>O19</xm:sqref>
        </x14:dataValidation>
        <x14:dataValidation type="list" allowBlank="1" showInputMessage="1" showErrorMessage="1">
          <x14:formula1>
            <xm:f>業務フォルダー作成!$N$11:$N$15</xm:f>
          </x14:formula1>
          <xm:sqref>U19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G25"/>
  <sheetViews>
    <sheetView workbookViewId="0">
      <selection activeCell="I17" sqref="I17"/>
    </sheetView>
  </sheetViews>
  <sheetFormatPr defaultColWidth="8.875" defaultRowHeight="18.75" x14ac:dyDescent="0.4"/>
  <cols>
    <col min="2" max="2" width="49.25" customWidth="1"/>
    <col min="3" max="3" width="32.375" customWidth="1"/>
    <col min="5" max="5" width="5.75" customWidth="1"/>
    <col min="6" max="6" width="31.875" customWidth="1"/>
    <col min="15" max="15" width="29" customWidth="1"/>
    <col min="16" max="16" width="2.25" customWidth="1"/>
    <col min="19" max="19" width="22.75" customWidth="1"/>
    <col min="20" max="20" width="2.25" customWidth="1"/>
  </cols>
  <sheetData>
    <row r="1" spans="2:7" ht="24.75" thickBot="1" x14ac:dyDescent="0.45">
      <c r="B1" s="1" t="s">
        <v>106</v>
      </c>
      <c r="F1" t="s">
        <v>55</v>
      </c>
    </row>
    <row r="2" spans="2:7" s="1" customFormat="1" ht="24.75" thickBot="1" x14ac:dyDescent="0.45">
      <c r="B2" s="27" t="s">
        <v>105</v>
      </c>
      <c r="C2" s="3" t="s">
        <v>87</v>
      </c>
      <c r="D2" s="3"/>
      <c r="E2" s="5"/>
    </row>
    <row r="3" spans="2:7" s="1" customFormat="1" ht="19.350000000000001" customHeight="1" x14ac:dyDescent="0.4">
      <c r="B3" t="s">
        <v>27</v>
      </c>
      <c r="E3" s="5"/>
    </row>
    <row r="4" spans="2:7" s="1" customFormat="1" ht="19.350000000000001" customHeight="1" x14ac:dyDescent="0.4">
      <c r="B4"/>
      <c r="E4" s="5"/>
    </row>
    <row r="5" spans="2:7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</row>
    <row r="6" spans="2:7" s="1" customFormat="1" ht="24" x14ac:dyDescent="0.4">
      <c r="B6" t="s">
        <v>19</v>
      </c>
      <c r="E6" s="5"/>
    </row>
    <row r="7" spans="2:7" s="1" customFormat="1" ht="24" x14ac:dyDescent="0.4">
      <c r="B7" s="65" t="s">
        <v>20</v>
      </c>
      <c r="C7" s="65" t="str">
        <f>共通項目更新シート!B4</f>
        <v>1503C</v>
      </c>
      <c r="D7" s="65"/>
      <c r="E7" s="5"/>
    </row>
    <row r="8" spans="2:7" s="5" customFormat="1" ht="24" x14ac:dyDescent="0.4"/>
    <row r="9" spans="2:7" s="1" customFormat="1" ht="24" x14ac:dyDescent="0.4">
      <c r="B9" s="65" t="s">
        <v>44</v>
      </c>
      <c r="C9" s="65" t="str">
        <f>共通項目更新シート!B8</f>
        <v>AQ</v>
      </c>
      <c r="D9" s="65"/>
      <c r="E9" s="5"/>
    </row>
    <row r="10" spans="2:7" s="5" customFormat="1" ht="24" x14ac:dyDescent="0.4">
      <c r="B10" s="5" t="s">
        <v>102</v>
      </c>
      <c r="C10" s="5">
        <f>COUNTA(業務フォルダー作成!K11:K32)+1</f>
        <v>4</v>
      </c>
    </row>
    <row r="11" spans="2:7" s="1" customFormat="1" ht="24" x14ac:dyDescent="0.4">
      <c r="B11" s="12" t="s">
        <v>48</v>
      </c>
      <c r="C11" s="13" t="s">
        <v>49</v>
      </c>
      <c r="D11" s="13"/>
      <c r="E11" s="5"/>
    </row>
    <row r="12" spans="2:7" s="5" customFormat="1" ht="26.65" customHeight="1" x14ac:dyDescent="0.4">
      <c r="B12" t="s">
        <v>26</v>
      </c>
      <c r="C12" s="1"/>
      <c r="D12" s="1"/>
    </row>
    <row r="13" spans="2:7" s="1" customFormat="1" ht="24" x14ac:dyDescent="0.4"/>
    <row r="14" spans="2:7" s="1" customFormat="1" ht="24" x14ac:dyDescent="0.4">
      <c r="B14" s="1" t="s">
        <v>18</v>
      </c>
    </row>
    <row r="15" spans="2:7" s="1" customFormat="1" ht="24.75" thickBot="1" x14ac:dyDescent="0.45">
      <c r="C15" s="1" t="s">
        <v>0</v>
      </c>
      <c r="D15" s="78" t="s">
        <v>2</v>
      </c>
      <c r="E15" s="2"/>
      <c r="F15" s="1" t="s">
        <v>5</v>
      </c>
      <c r="G15" s="2" t="s">
        <v>6</v>
      </c>
    </row>
    <row r="16" spans="2:7" s="1" customFormat="1" ht="24" x14ac:dyDescent="0.4">
      <c r="B16" s="1">
        <v>1</v>
      </c>
      <c r="C16" s="1" t="s">
        <v>1</v>
      </c>
      <c r="D16" s="79" t="str">
        <f>実績報告書作成!D19</f>
        <v>F</v>
      </c>
      <c r="E16" s="11" t="s">
        <v>15</v>
      </c>
      <c r="F16" s="1" t="s">
        <v>7</v>
      </c>
      <c r="G16" s="67" t="s">
        <v>8</v>
      </c>
    </row>
    <row r="17" spans="2:7" s="1" customFormat="1" ht="24" x14ac:dyDescent="0.4">
      <c r="B17" s="1">
        <v>2</v>
      </c>
      <c r="C17" s="77" t="s">
        <v>9</v>
      </c>
      <c r="D17" s="80" t="str">
        <f>実績報告書作成!D20</f>
        <v>AA</v>
      </c>
      <c r="E17" s="11" t="s">
        <v>15</v>
      </c>
      <c r="F17" s="1" t="s">
        <v>9</v>
      </c>
      <c r="G17" s="67" t="s">
        <v>11</v>
      </c>
    </row>
    <row r="18" spans="2:7" s="1" customFormat="1" ht="24" x14ac:dyDescent="0.4">
      <c r="B18" s="1">
        <v>3</v>
      </c>
      <c r="C18" s="1" t="s">
        <v>3</v>
      </c>
      <c r="D18" s="80" t="str">
        <f>実績報告書作成!D21</f>
        <v>AB</v>
      </c>
      <c r="E18" s="11" t="s">
        <v>15</v>
      </c>
      <c r="F18" s="1" t="s">
        <v>3</v>
      </c>
      <c r="G18" s="67" t="s">
        <v>10</v>
      </c>
    </row>
    <row r="19" spans="2:7" s="1" customFormat="1" ht="24" x14ac:dyDescent="0.4">
      <c r="B19" s="1">
        <v>4</v>
      </c>
      <c r="C19" s="1" t="s">
        <v>4</v>
      </c>
      <c r="D19" s="80" t="str">
        <f>実績報告書作成!D22</f>
        <v>AC</v>
      </c>
      <c r="E19" s="11" t="s">
        <v>15</v>
      </c>
      <c r="F19" s="1" t="s">
        <v>12</v>
      </c>
      <c r="G19" s="67" t="s">
        <v>13</v>
      </c>
    </row>
    <row r="20" spans="2:7" s="1" customFormat="1" ht="24.75" thickBot="1" x14ac:dyDescent="0.45">
      <c r="B20" s="1">
        <v>5</v>
      </c>
      <c r="C20" s="1" t="s">
        <v>23</v>
      </c>
      <c r="D20" s="81" t="str">
        <f>実績報告書作成!D23</f>
        <v>X</v>
      </c>
      <c r="E20" s="11" t="s">
        <v>15</v>
      </c>
      <c r="F20" s="1" t="s">
        <v>35</v>
      </c>
      <c r="G20" s="67" t="s">
        <v>24</v>
      </c>
    </row>
    <row r="21" spans="2:7" s="1" customFormat="1" ht="24" x14ac:dyDescent="0.4">
      <c r="C21" s="6" t="s">
        <v>32</v>
      </c>
      <c r="D21" s="4" t="s">
        <v>47</v>
      </c>
      <c r="E21" s="8"/>
      <c r="F21" s="8"/>
      <c r="G21" s="9"/>
    </row>
    <row r="22" spans="2:7" ht="24" x14ac:dyDescent="0.4">
      <c r="C22" s="6" t="s">
        <v>86</v>
      </c>
      <c r="D22" s="4" t="s">
        <v>39</v>
      </c>
      <c r="E22" s="7"/>
      <c r="F22" s="8"/>
      <c r="G22" s="9"/>
    </row>
    <row r="23" spans="2:7" ht="24" x14ac:dyDescent="0.4">
      <c r="C23" s="1" t="s">
        <v>33</v>
      </c>
    </row>
    <row r="24" spans="2:7" ht="24" x14ac:dyDescent="0.4">
      <c r="C24" s="1" t="s">
        <v>30</v>
      </c>
    </row>
    <row r="25" spans="2:7" ht="24" x14ac:dyDescent="0.4">
      <c r="C25" s="59" t="s">
        <v>213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inProc3.mainProc3">
                <anchor moveWithCells="1" sizeWithCells="1">
                  <from>
                    <xdr:col>1</xdr:col>
                    <xdr:colOff>933450</xdr:colOff>
                    <xdr:row>26</xdr:row>
                    <xdr:rowOff>152400</xdr:rowOff>
                  </from>
                  <to>
                    <xdr:col>2</xdr:col>
                    <xdr:colOff>733425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V21"/>
  <sheetViews>
    <sheetView workbookViewId="0"/>
  </sheetViews>
  <sheetFormatPr defaultColWidth="8.875" defaultRowHeight="18.75" x14ac:dyDescent="0.4"/>
  <cols>
    <col min="2" max="2" width="35.25" customWidth="1"/>
    <col min="3" max="3" width="32.375" customWidth="1"/>
    <col min="5" max="5" width="5.75" customWidth="1"/>
    <col min="6" max="6" width="31.875" customWidth="1"/>
    <col min="15" max="15" width="29" customWidth="1"/>
    <col min="16" max="16" width="2.25" customWidth="1"/>
    <col min="19" max="19" width="22.75" customWidth="1"/>
    <col min="20" max="20" width="2.25" customWidth="1"/>
  </cols>
  <sheetData>
    <row r="1" spans="2:8" ht="24.75" thickBot="1" x14ac:dyDescent="0.45">
      <c r="B1" s="1" t="s">
        <v>106</v>
      </c>
      <c r="F1" t="s">
        <v>55</v>
      </c>
    </row>
    <row r="2" spans="2:8" s="1" customFormat="1" ht="24.75" thickBot="1" x14ac:dyDescent="0.45">
      <c r="B2" s="27" t="s">
        <v>105</v>
      </c>
      <c r="C2" s="3" t="s">
        <v>38</v>
      </c>
      <c r="D2" s="3"/>
      <c r="E2" s="5"/>
      <c r="F2" s="1" t="s">
        <v>152</v>
      </c>
      <c r="G2" s="3" t="s">
        <v>154</v>
      </c>
      <c r="H2" s="3">
        <v>56</v>
      </c>
    </row>
    <row r="3" spans="2:8" s="1" customFormat="1" ht="19.350000000000001" customHeight="1" x14ac:dyDescent="0.4">
      <c r="B3" t="s">
        <v>27</v>
      </c>
      <c r="E3" s="5"/>
    </row>
    <row r="4" spans="2:8" s="1" customFormat="1" ht="19.350000000000001" customHeight="1" x14ac:dyDescent="0.4">
      <c r="B4"/>
      <c r="E4" s="5"/>
    </row>
    <row r="5" spans="2:8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</row>
    <row r="6" spans="2:8" s="1" customFormat="1" ht="24" x14ac:dyDescent="0.4">
      <c r="B6" t="s">
        <v>19</v>
      </c>
      <c r="E6" s="5"/>
    </row>
    <row r="7" spans="2:8" s="1" customFormat="1" ht="24" x14ac:dyDescent="0.4">
      <c r="B7" s="65" t="s">
        <v>20</v>
      </c>
      <c r="C7" s="65" t="str">
        <f>共通項目更新シート!B4</f>
        <v>1503C</v>
      </c>
      <c r="D7" s="65"/>
      <c r="E7" s="5"/>
    </row>
    <row r="8" spans="2:8" s="5" customFormat="1" ht="24" x14ac:dyDescent="0.4"/>
    <row r="9" spans="2:8" s="1" customFormat="1" ht="24" x14ac:dyDescent="0.4">
      <c r="B9" s="1" t="s">
        <v>44</v>
      </c>
      <c r="C9" s="65" t="str">
        <f>共通項目更新シート!B8</f>
        <v>AQ</v>
      </c>
      <c r="D9" s="65"/>
      <c r="E9" s="5"/>
    </row>
    <row r="10" spans="2:8" s="5" customFormat="1" ht="24" x14ac:dyDescent="0.4"/>
    <row r="11" spans="2:8" s="1" customFormat="1" ht="24" x14ac:dyDescent="0.4">
      <c r="B11" s="10" t="s">
        <v>36</v>
      </c>
      <c r="C11" s="3" t="s">
        <v>46</v>
      </c>
      <c r="D11" s="3"/>
      <c r="E11" s="5"/>
    </row>
    <row r="12" spans="2:8" s="5" customFormat="1" ht="26.65" customHeight="1" x14ac:dyDescent="0.4">
      <c r="B12" t="s">
        <v>26</v>
      </c>
      <c r="C12" s="1"/>
      <c r="D12" s="1"/>
    </row>
    <row r="13" spans="2:8" s="1" customFormat="1" ht="24" x14ac:dyDescent="0.4">
      <c r="E13" s="5"/>
    </row>
    <row r="14" spans="2:8" s="1" customFormat="1" ht="24" x14ac:dyDescent="0.4">
      <c r="B14" s="1" t="s">
        <v>18</v>
      </c>
    </row>
    <row r="15" spans="2:8" s="1" customFormat="1" ht="24" x14ac:dyDescent="0.4">
      <c r="C15" s="1" t="s">
        <v>0</v>
      </c>
      <c r="D15" s="2" t="s">
        <v>2</v>
      </c>
      <c r="E15" s="2"/>
      <c r="F15" s="1" t="s">
        <v>5</v>
      </c>
      <c r="G15" s="2" t="s">
        <v>6</v>
      </c>
    </row>
    <row r="16" spans="2:8" s="1" customFormat="1" ht="24" x14ac:dyDescent="0.4">
      <c r="C16" s="1" t="s">
        <v>29</v>
      </c>
      <c r="D16" s="4" t="s">
        <v>37</v>
      </c>
      <c r="E16" s="1" t="s">
        <v>15</v>
      </c>
      <c r="F16" s="1" t="s">
        <v>28</v>
      </c>
      <c r="G16" s="4" t="s">
        <v>31</v>
      </c>
    </row>
    <row r="17" spans="3:22" s="1" customFormat="1" ht="24" x14ac:dyDescent="0.4">
      <c r="C17" s="6" t="s">
        <v>32</v>
      </c>
      <c r="D17" s="4" t="s">
        <v>47</v>
      </c>
      <c r="E17" s="8"/>
      <c r="F17" s="8"/>
      <c r="G17" s="9"/>
    </row>
    <row r="18" spans="3:22" ht="24" x14ac:dyDescent="0.4">
      <c r="C18" s="6" t="s">
        <v>86</v>
      </c>
      <c r="D18" s="4" t="s">
        <v>39</v>
      </c>
      <c r="E18" s="7"/>
      <c r="F18" s="8"/>
      <c r="G18" s="9"/>
      <c r="O18" s="1" t="s">
        <v>159</v>
      </c>
      <c r="P18" s="1"/>
      <c r="Q18" s="1"/>
      <c r="R18" s="1"/>
      <c r="S18" s="1"/>
      <c r="T18" s="1"/>
      <c r="U18" s="1"/>
    </row>
    <row r="19" spans="3:22" ht="24" x14ac:dyDescent="0.4">
      <c r="C19" s="1" t="s">
        <v>33</v>
      </c>
      <c r="O19" s="1" t="s">
        <v>100</v>
      </c>
      <c r="P19" s="3"/>
      <c r="Q19" s="3" t="str">
        <f>VLOOKUP($O$19,業務フォルダー作成!$K$11:$L$22,2,FALSE)</f>
        <v>BT</v>
      </c>
      <c r="R19" s="1"/>
      <c r="S19" s="1" t="s">
        <v>160</v>
      </c>
      <c r="T19" s="1"/>
      <c r="U19" s="3"/>
      <c r="V19" s="58" t="str">
        <f>"←確認！進捗リストの「ファイル名」の行のデータが拡張子付きの場合は、ブランクにする"</f>
        <v>←確認！進捗リストの「ファイル名」の行のデータが拡張子付きの場合は、ブランクにする</v>
      </c>
    </row>
    <row r="20" spans="3:22" ht="24" x14ac:dyDescent="0.4">
      <c r="C20" s="1" t="s">
        <v>30</v>
      </c>
    </row>
    <row r="21" spans="3:22" ht="24" x14ac:dyDescent="0.4">
      <c r="C21" s="59" t="s">
        <v>213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Proc2.mainProc2">
                <anchor moveWithCells="1" sizeWithCells="1">
                  <from>
                    <xdr:col>1</xdr:col>
                    <xdr:colOff>914400</xdr:colOff>
                    <xdr:row>22</xdr:row>
                    <xdr:rowOff>95250</xdr:rowOff>
                  </from>
                  <to>
                    <xdr:col>2</xdr:col>
                    <xdr:colOff>685800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inProc7.mainProc7">
                <anchor moveWithCells="1" sizeWithCells="1">
                  <from>
                    <xdr:col>14</xdr:col>
                    <xdr:colOff>314325</xdr:colOff>
                    <xdr:row>21</xdr:row>
                    <xdr:rowOff>104775</xdr:rowOff>
                  </from>
                  <to>
                    <xdr:col>17</xdr:col>
                    <xdr:colOff>285750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業務フォルダー作成!$N$11:$N$15</xm:f>
          </x14:formula1>
          <xm:sqref>U19</xm:sqref>
        </x14:dataValidation>
        <x14:dataValidation type="list" allowBlank="1" showInputMessage="1" showErrorMessage="1">
          <x14:formula1>
            <xm:f>業務フォルダー作成!$K$11:$K$22</xm:f>
          </x14:formula1>
          <xm:sqref>O19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V33"/>
  <sheetViews>
    <sheetView workbookViewId="0">
      <selection activeCell="B13" sqref="B13"/>
    </sheetView>
  </sheetViews>
  <sheetFormatPr defaultRowHeight="18.75" x14ac:dyDescent="0.4"/>
  <cols>
    <col min="2" max="2" width="51.375" customWidth="1"/>
    <col min="3" max="3" width="45.75" customWidth="1"/>
    <col min="4" max="4" width="10.625" style="26" customWidth="1"/>
    <col min="5" max="5" width="2.375" style="26" customWidth="1"/>
    <col min="6" max="6" width="22.375" customWidth="1"/>
    <col min="7" max="7" width="13.5" customWidth="1"/>
    <col min="8" max="8" width="20.5" customWidth="1"/>
    <col min="9" max="9" width="30.125" customWidth="1"/>
    <col min="10" max="10" width="56.875" bestFit="1" customWidth="1"/>
    <col min="11" max="11" width="11" bestFit="1" customWidth="1"/>
    <col min="12" max="12" width="24.875" customWidth="1"/>
    <col min="14" max="14" width="32.75" customWidth="1"/>
    <col min="16" max="16" width="9" style="42"/>
    <col min="17" max="17" width="32.75" customWidth="1"/>
    <col min="20" max="20" width="32.75" customWidth="1"/>
  </cols>
  <sheetData>
    <row r="1" spans="2:16" ht="24.75" thickBot="1" x14ac:dyDescent="0.45">
      <c r="B1" s="1" t="s">
        <v>104</v>
      </c>
      <c r="G1" t="s">
        <v>55</v>
      </c>
      <c r="L1" s="26"/>
      <c r="M1" s="26"/>
      <c r="N1" s="26"/>
    </row>
    <row r="2" spans="2:16" s="1" customFormat="1" ht="24.75" thickBot="1" x14ac:dyDescent="0.45">
      <c r="B2" s="47" t="s">
        <v>105</v>
      </c>
      <c r="C2" s="48" t="s">
        <v>38</v>
      </c>
      <c r="D2" s="5"/>
      <c r="E2" s="5"/>
      <c r="F2" s="5"/>
      <c r="L2" s="5"/>
      <c r="M2" s="5"/>
      <c r="N2" s="5"/>
      <c r="P2" s="54"/>
    </row>
    <row r="3" spans="2:16" s="1" customFormat="1" ht="24.75" thickBot="1" x14ac:dyDescent="0.45">
      <c r="B3" s="47" t="s">
        <v>26</v>
      </c>
      <c r="C3" s="48"/>
      <c r="D3" s="5"/>
      <c r="E3" s="5"/>
      <c r="F3" s="5"/>
      <c r="L3" s="5"/>
      <c r="M3" s="5"/>
      <c r="N3" s="5"/>
      <c r="P3" s="54"/>
    </row>
    <row r="4" spans="2:16" s="1" customFormat="1" ht="24" x14ac:dyDescent="0.4">
      <c r="B4"/>
      <c r="D4" s="5"/>
      <c r="E4" s="5"/>
      <c r="F4" s="5"/>
      <c r="L4" s="5"/>
      <c r="M4" s="5"/>
      <c r="N4" s="5"/>
      <c r="P4" s="54"/>
    </row>
    <row r="5" spans="2:16" s="1" customFormat="1" ht="24" x14ac:dyDescent="0.4">
      <c r="B5" s="65" t="s">
        <v>17</v>
      </c>
      <c r="C5" s="65" t="str">
        <f>共通項目更新シート!B3</f>
        <v>JCOG1503C_定期報告進捗リスト.xlsx</v>
      </c>
      <c r="D5" s="65"/>
      <c r="E5" s="5"/>
      <c r="F5" s="5"/>
      <c r="L5" s="5"/>
      <c r="M5" s="5"/>
      <c r="N5" s="5"/>
      <c r="P5" s="54"/>
    </row>
    <row r="6" spans="2:16" s="1" customFormat="1" ht="24" x14ac:dyDescent="0.4">
      <c r="B6" t="s">
        <v>19</v>
      </c>
      <c r="D6" s="5"/>
      <c r="E6" s="5"/>
      <c r="F6" s="5"/>
      <c r="L6" s="5"/>
      <c r="M6" s="5"/>
      <c r="N6" s="5"/>
      <c r="P6" s="54"/>
    </row>
    <row r="7" spans="2:16" s="1" customFormat="1" ht="24" x14ac:dyDescent="0.4">
      <c r="B7" s="1" t="s">
        <v>20</v>
      </c>
      <c r="C7" s="65" t="str">
        <f>共通項目更新シート!B4</f>
        <v>1503C</v>
      </c>
      <c r="D7" s="65"/>
      <c r="E7" s="5"/>
      <c r="F7" s="5"/>
      <c r="L7" s="5"/>
      <c r="M7" s="5"/>
      <c r="N7" s="5"/>
      <c r="P7" s="54"/>
    </row>
    <row r="8" spans="2:16" s="1" customFormat="1" ht="24" x14ac:dyDescent="0.4">
      <c r="B8" s="1" t="s">
        <v>194</v>
      </c>
      <c r="C8" s="3" t="s">
        <v>195</v>
      </c>
      <c r="D8" s="5"/>
      <c r="E8" s="5"/>
      <c r="F8" s="5"/>
      <c r="L8" s="5"/>
      <c r="M8" s="5"/>
      <c r="N8" s="5"/>
      <c r="P8" s="54"/>
    </row>
    <row r="9" spans="2:16" s="5" customFormat="1" ht="24" x14ac:dyDescent="0.4">
      <c r="B9" s="1" t="s">
        <v>240</v>
      </c>
      <c r="C9" s="3" t="s">
        <v>239</v>
      </c>
      <c r="D9" s="39"/>
      <c r="E9" s="39"/>
      <c r="F9" s="40"/>
      <c r="G9" s="39"/>
      <c r="H9" s="39"/>
      <c r="I9" s="39"/>
      <c r="J9" s="39"/>
      <c r="P9" s="54"/>
    </row>
    <row r="10" spans="2:16" s="5" customFormat="1" ht="24" x14ac:dyDescent="0.4">
      <c r="B10" s="39"/>
      <c r="C10" s="39"/>
      <c r="D10" s="39"/>
      <c r="E10" s="39"/>
      <c r="F10" s="39"/>
      <c r="G10" s="39"/>
      <c r="H10" s="39"/>
      <c r="I10" s="39"/>
      <c r="J10" s="39"/>
      <c r="P10" s="54"/>
    </row>
    <row r="11" spans="2:16" s="1" customFormat="1" ht="24" x14ac:dyDescent="0.4">
      <c r="B11" s="1" t="s">
        <v>103</v>
      </c>
      <c r="D11" s="1" t="s">
        <v>100</v>
      </c>
      <c r="F11" s="3" t="str">
        <f>VLOOKUP($D$11,業務フォルダー作成!$K$11:$L$22,2,FALSE)</f>
        <v>BT</v>
      </c>
      <c r="L11" s="5"/>
      <c r="M11" s="5"/>
      <c r="N11" s="5"/>
      <c r="P11" s="54"/>
    </row>
    <row r="12" spans="2:16" ht="24" x14ac:dyDescent="0.4">
      <c r="F12" s="1"/>
    </row>
    <row r="13" spans="2:16" x14ac:dyDescent="0.4">
      <c r="B13" t="s">
        <v>108</v>
      </c>
    </row>
    <row r="14" spans="2:16" x14ac:dyDescent="0.4">
      <c r="B14" s="61" t="s">
        <v>109</v>
      </c>
      <c r="C14" s="62" t="s">
        <v>110</v>
      </c>
      <c r="D14" s="62"/>
      <c r="E14" s="62"/>
      <c r="F14" s="22"/>
    </row>
    <row r="15" spans="2:16" x14ac:dyDescent="0.4">
      <c r="B15" t="s">
        <v>111</v>
      </c>
      <c r="C15" s="34">
        <v>1</v>
      </c>
      <c r="D15" s="41"/>
      <c r="E15" s="41"/>
    </row>
    <row r="16" spans="2:16" x14ac:dyDescent="0.4">
      <c r="B16" t="s">
        <v>112</v>
      </c>
      <c r="C16" s="34">
        <v>4</v>
      </c>
      <c r="D16" s="41"/>
      <c r="E16" s="41"/>
    </row>
    <row r="18" spans="2:22" x14ac:dyDescent="0.4">
      <c r="B18" t="s">
        <v>131</v>
      </c>
      <c r="C18" t="s">
        <v>132</v>
      </c>
    </row>
    <row r="19" spans="2:22" ht="19.5" x14ac:dyDescent="0.4">
      <c r="B19" s="60" t="s">
        <v>217</v>
      </c>
      <c r="F19" t="s">
        <v>127</v>
      </c>
      <c r="J19" t="s">
        <v>114</v>
      </c>
      <c r="N19" s="38" t="s">
        <v>156</v>
      </c>
      <c r="Q19" s="38" t="s">
        <v>157</v>
      </c>
      <c r="R19" t="s">
        <v>205</v>
      </c>
      <c r="T19" s="38" t="s">
        <v>137</v>
      </c>
      <c r="U19" t="s">
        <v>207</v>
      </c>
    </row>
    <row r="20" spans="2:22" ht="38.25" customHeight="1" x14ac:dyDescent="0.4">
      <c r="B20" s="33" t="s">
        <v>189</v>
      </c>
      <c r="C20" s="30" t="s">
        <v>136</v>
      </c>
      <c r="D20" s="49" t="s">
        <v>190</v>
      </c>
      <c r="E20" s="42"/>
      <c r="F20" s="30" t="s">
        <v>143</v>
      </c>
      <c r="G20" s="30" t="s">
        <v>144</v>
      </c>
      <c r="J20" s="30" t="s">
        <v>143</v>
      </c>
      <c r="K20" s="30" t="s">
        <v>176</v>
      </c>
      <c r="N20" s="35" t="s">
        <v>178</v>
      </c>
      <c r="O20" s="30" t="s">
        <v>142</v>
      </c>
      <c r="Q20" s="35" t="s">
        <v>157</v>
      </c>
      <c r="R20" s="30" t="s">
        <v>142</v>
      </c>
      <c r="T20" s="35" t="s">
        <v>141</v>
      </c>
      <c r="U20" s="30" t="s">
        <v>142</v>
      </c>
    </row>
    <row r="21" spans="2:22" x14ac:dyDescent="0.4">
      <c r="B21" s="30" t="s">
        <v>128</v>
      </c>
      <c r="C21" s="30" t="s">
        <v>133</v>
      </c>
      <c r="D21" s="42" t="s">
        <v>181</v>
      </c>
      <c r="E21" s="42"/>
      <c r="F21" s="30" t="s">
        <v>113</v>
      </c>
      <c r="G21" s="30" t="s">
        <v>197</v>
      </c>
      <c r="H21" t="s">
        <v>198</v>
      </c>
      <c r="J21" s="52" t="s">
        <v>191</v>
      </c>
      <c r="K21" s="52" t="s">
        <v>132</v>
      </c>
      <c r="L21" s="53" t="s">
        <v>192</v>
      </c>
      <c r="N21" s="36" t="s">
        <v>177</v>
      </c>
      <c r="O21" s="30" t="s">
        <v>180</v>
      </c>
      <c r="P21" s="55"/>
      <c r="Q21" s="36" t="s">
        <v>179</v>
      </c>
      <c r="R21" s="30" t="s">
        <v>180</v>
      </c>
      <c r="T21" s="37" t="s">
        <v>139</v>
      </c>
      <c r="U21" s="30" t="s">
        <v>125</v>
      </c>
    </row>
    <row r="22" spans="2:22" x14ac:dyDescent="0.4">
      <c r="B22" s="30" t="s">
        <v>130</v>
      </c>
      <c r="C22" s="30" t="s">
        <v>135</v>
      </c>
      <c r="D22" s="42" t="s">
        <v>182</v>
      </c>
      <c r="E22" s="42"/>
      <c r="F22" s="31" t="s">
        <v>199</v>
      </c>
      <c r="G22" s="31" t="s">
        <v>196</v>
      </c>
      <c r="H22" t="s">
        <v>200</v>
      </c>
      <c r="J22" s="30" t="s">
        <v>115</v>
      </c>
      <c r="K22" s="30" t="s">
        <v>47</v>
      </c>
      <c r="L22" t="s">
        <v>119</v>
      </c>
      <c r="N22" s="50" t="s">
        <v>208</v>
      </c>
      <c r="O22" s="51" t="s">
        <v>209</v>
      </c>
      <c r="Q22" s="50" t="s">
        <v>208</v>
      </c>
      <c r="R22" s="51" t="s">
        <v>209</v>
      </c>
      <c r="T22" s="37" t="s">
        <v>119</v>
      </c>
      <c r="U22" s="30" t="s">
        <v>47</v>
      </c>
    </row>
    <row r="23" spans="2:22" x14ac:dyDescent="0.4">
      <c r="B23" s="33" t="s">
        <v>129</v>
      </c>
      <c r="C23" s="30" t="s">
        <v>134</v>
      </c>
      <c r="D23" s="42" t="s">
        <v>183</v>
      </c>
      <c r="E23" s="42"/>
      <c r="F23" s="30"/>
      <c r="G23" s="30"/>
      <c r="J23" s="30" t="s">
        <v>116</v>
      </c>
      <c r="K23" s="30" t="s">
        <v>120</v>
      </c>
      <c r="L23" t="s">
        <v>121</v>
      </c>
      <c r="N23" s="36"/>
      <c r="O23" s="30"/>
      <c r="P23" s="55"/>
      <c r="Q23" s="37"/>
      <c r="R23" s="30"/>
      <c r="T23" s="37" t="s">
        <v>124</v>
      </c>
      <c r="U23" s="30" t="s">
        <v>175</v>
      </c>
    </row>
    <row r="24" spans="2:22" x14ac:dyDescent="0.4">
      <c r="D24" s="42" t="s">
        <v>184</v>
      </c>
      <c r="F24" s="30"/>
      <c r="G24" s="30"/>
      <c r="J24" s="30" t="s">
        <v>117</v>
      </c>
      <c r="K24" s="30" t="s">
        <v>122</v>
      </c>
      <c r="L24" t="s">
        <v>123</v>
      </c>
      <c r="N24" s="36"/>
      <c r="O24" s="30"/>
      <c r="P24" s="55"/>
      <c r="Q24" s="37"/>
      <c r="R24" s="30"/>
      <c r="T24" s="37" t="s">
        <v>140</v>
      </c>
      <c r="U24" s="30" t="s">
        <v>122</v>
      </c>
    </row>
    <row r="25" spans="2:22" x14ac:dyDescent="0.4">
      <c r="D25" s="42" t="s">
        <v>185</v>
      </c>
      <c r="J25" s="30" t="s">
        <v>118</v>
      </c>
      <c r="K25" s="30" t="s">
        <v>175</v>
      </c>
      <c r="L25" t="s">
        <v>124</v>
      </c>
      <c r="N25" s="37"/>
      <c r="O25" s="30"/>
      <c r="P25" s="55"/>
      <c r="Q25" s="37"/>
      <c r="R25" s="30"/>
      <c r="T25" s="50" t="s">
        <v>138</v>
      </c>
      <c r="U25" s="51" t="s">
        <v>120</v>
      </c>
      <c r="V25" t="s">
        <v>206</v>
      </c>
    </row>
    <row r="26" spans="2:22" x14ac:dyDescent="0.4">
      <c r="D26" s="42" t="s">
        <v>186</v>
      </c>
      <c r="J26" s="32" t="s">
        <v>221</v>
      </c>
      <c r="K26" s="30" t="s">
        <v>125</v>
      </c>
      <c r="L26" t="s">
        <v>126</v>
      </c>
      <c r="N26" s="57" t="s">
        <v>210</v>
      </c>
      <c r="Q26" s="57" t="s">
        <v>210</v>
      </c>
      <c r="V26" t="s">
        <v>212</v>
      </c>
    </row>
    <row r="27" spans="2:22" x14ac:dyDescent="0.4">
      <c r="D27" s="42" t="s">
        <v>187</v>
      </c>
      <c r="J27" s="32" t="s">
        <v>202</v>
      </c>
      <c r="K27" s="35" t="s">
        <v>203</v>
      </c>
    </row>
    <row r="28" spans="2:22" x14ac:dyDescent="0.4">
      <c r="D28" s="42" t="s">
        <v>188</v>
      </c>
      <c r="J28" s="35" t="s">
        <v>155</v>
      </c>
      <c r="K28" s="30" t="s">
        <v>158</v>
      </c>
    </row>
    <row r="29" spans="2:22" x14ac:dyDescent="0.4">
      <c r="J29" s="30" t="s">
        <v>204</v>
      </c>
      <c r="K29" s="30" t="s">
        <v>193</v>
      </c>
    </row>
    <row r="30" spans="2:22" x14ac:dyDescent="0.4">
      <c r="J30" s="30" t="s">
        <v>201</v>
      </c>
      <c r="K30" s="30" t="s">
        <v>40</v>
      </c>
      <c r="L30" t="s">
        <v>1</v>
      </c>
    </row>
    <row r="31" spans="2:22" x14ac:dyDescent="0.4">
      <c r="J31" s="57" t="s">
        <v>211</v>
      </c>
    </row>
    <row r="33" spans="2:2" x14ac:dyDescent="0.4">
      <c r="B33" s="29"/>
    </row>
  </sheetData>
  <phoneticPr fontId="1"/>
  <conditionalFormatting sqref="B23">
    <cfRule type="expression" dxfId="7" priority="9">
      <formula>$A21&lt;&gt;""</formula>
    </cfRule>
  </conditionalFormatting>
  <conditionalFormatting sqref="N23:N24 N21">
    <cfRule type="expression" dxfId="6" priority="8">
      <formula>$A20&lt;&gt;""</formula>
    </cfRule>
  </conditionalFormatting>
  <conditionalFormatting sqref="Q21 Q23:Q25">
    <cfRule type="expression" dxfId="5" priority="7">
      <formula>$A20&lt;&gt;""</formula>
    </cfRule>
  </conditionalFormatting>
  <conditionalFormatting sqref="T25">
    <cfRule type="expression" dxfId="4" priority="11">
      <formula>$A20&lt;&gt;""</formula>
    </cfRule>
  </conditionalFormatting>
  <conditionalFormatting sqref="T21:T24">
    <cfRule type="expression" dxfId="3" priority="12">
      <formula>$A21&lt;&gt;""</formula>
    </cfRule>
  </conditionalFormatting>
  <conditionalFormatting sqref="Q22">
    <cfRule type="expression" dxfId="2" priority="3">
      <formula>$A21&lt;&gt;""</formula>
    </cfRule>
  </conditionalFormatting>
  <conditionalFormatting sqref="N22">
    <cfRule type="expression" dxfId="1" priority="2">
      <formula>$A18&lt;&gt;""</formula>
    </cfRule>
  </conditionalFormatting>
  <conditionalFormatting sqref="N25">
    <cfRule type="expression" dxfId="0" priority="1">
      <formula>$A24&lt;&gt;""</formula>
    </cfRule>
  </conditionalFormatting>
  <hyperlinks>
    <hyperlink ref="C14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inProc8.mainProc8">
                <anchor moveWithCells="1" sizeWithCells="1">
                  <from>
                    <xdr:col>7</xdr:col>
                    <xdr:colOff>104775</xdr:colOff>
                    <xdr:row>13</xdr:row>
                    <xdr:rowOff>57150</xdr:rowOff>
                  </from>
                  <to>
                    <xdr:col>8</xdr:col>
                    <xdr:colOff>790575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業務フォルダー作成!$K$11:$K$22</xm:f>
          </x14:formula1>
          <xm:sqref>D11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共通項目更新シート</vt:lpstr>
      <vt:lpstr>業務フォルダー作成</vt:lpstr>
      <vt:lpstr>患者登録状況一覧作成</vt:lpstr>
      <vt:lpstr>実績報告書作成</vt:lpstr>
      <vt:lpstr>総括報告書作成</vt:lpstr>
      <vt:lpstr>実績0件</vt:lpstr>
      <vt:lpstr>コピー（手引き）</vt:lpstr>
      <vt:lpstr>実績報告書確認</vt:lpstr>
      <vt:lpstr>実績報告書更新</vt:lpstr>
      <vt:lpstr>メール送信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ryuji</dc:creator>
  <cp:lastModifiedBy>井上 隆司 R.I.</cp:lastModifiedBy>
  <dcterms:created xsi:type="dcterms:W3CDTF">2020-04-15T04:05:23Z</dcterms:created>
  <dcterms:modified xsi:type="dcterms:W3CDTF">2020-12-28T05:01:18Z</dcterms:modified>
</cp:coreProperties>
</file>